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LAQSA\OneDrive\Desktop\Excel project\"/>
    </mc:Choice>
  </mc:AlternateContent>
  <xr:revisionPtr revIDLastSave="0" documentId="13_ncr:1_{B289E9B4-C0CF-4A7A-8059-8B0544756BA4}" xr6:coauthVersionLast="47" xr6:coauthVersionMax="47" xr10:uidLastSave="{00000000-0000-0000-0000-000000000000}"/>
  <bookViews>
    <workbookView xWindow="-120" yWindow="-120" windowWidth="29040" windowHeight="15720" firstSheet="2" activeTab="4" xr2:uid="{5F1D3205-FDA8-4AF6-B0D0-FBB1FCA99D6A}"/>
  </bookViews>
  <sheets>
    <sheet name="Stores" sheetId="1" r:id="rId1"/>
    <sheet name="Product" sheetId="3" r:id="rId2"/>
    <sheet name="Product DIS" sheetId="4" r:id="rId3"/>
    <sheet name="Forecasting" sheetId="6" r:id="rId4"/>
    <sheet name="Report 1" sheetId="7" r:id="rId5"/>
    <sheet name="Report 2" sheetId="8" r:id="rId6"/>
    <sheet name="Report 3" sheetId="9" r:id="rId7"/>
    <sheet name="Report 4" sheetId="5" r:id="rId8"/>
    <sheet name="Report 5" sheetId="11" r:id="rId9"/>
    <sheet name="Charts" sheetId="12" r:id="rId10"/>
    <sheet name="Stores Overview" sheetId="2" r:id="rId11"/>
    <sheet name="Forecasting Report" sheetId="14" r:id="rId12"/>
  </sheets>
  <definedNames>
    <definedName name="ExternalData_1" localSheetId="3" hidden="1">Forecasting!$A$1:$E$809</definedName>
    <definedName name="ExternalData_1" localSheetId="1" hidden="1">Product!$A$1:$G$27</definedName>
    <definedName name="ExternalData_1" localSheetId="2" hidden="1">'Product DIS'!$A$1:$F$27</definedName>
    <definedName name="ExternalData_1" localSheetId="8" hidden="1">'Report 5'!$A$3:$H$12</definedName>
    <definedName name="ExternalData_3" localSheetId="7" hidden="1">'Report 4'!$A$3:$F$13</definedName>
    <definedName name="Slicer_Store_Tier">#N/A</definedName>
    <definedName name="Slicer_Year">#N/A</definedName>
  </definedNames>
  <calcPr calcId="191029"/>
  <pivotCaches>
    <pivotCache cacheId="0" r:id="rId13"/>
    <pivotCache cacheId="1" r:id="rId14"/>
    <pivotCache cacheId="2" r:id="rId15"/>
    <pivotCache cacheId="3"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3" i="14" l="1"/>
  <c r="K9" i="14"/>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2" i="14"/>
  <c r="K26" i="14"/>
  <c r="K35" i="14" l="1"/>
  <c r="K29" i="14"/>
  <c r="K32"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87B4F1-7943-44FD-9CF1-E6CD89F4F19B}"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61FD3B6A-DC83-4241-83CA-3BEB1BC0EB26}" keepAlive="1" name="Query - employees" description="Connection to the 'employees' query in the workbook." type="5" refreshedVersion="0" background="1">
    <dbPr connection="Provider=Microsoft.Mashup.OleDb.1;Data Source=$Workbook$;Location=employees;Extended Properties=&quot;&quot;" command="SELECT * FROM [employees]"/>
  </connection>
  <connection id="3" xr16:uid="{3DE5DE43-980B-4F2B-AE1B-BAF89D39A63D}" keepAlive="1" name="Query - employees (2)" description="Connection to the 'employees (2)' query in the workbook." type="5" refreshedVersion="8" background="1" saveData="1">
    <dbPr connection="Provider=Microsoft.Mashup.OleDb.1;Data Source=$Workbook$;Location=&quot;employees (2)&quot;;Extended Properties=&quot;&quot;" command="SELECT * FROM [employees (2)]"/>
  </connection>
  <connection id="4" xr16:uid="{C5D11B5E-C186-443B-B690-5A66FD4D0E65}" keepAlive="1" name="Query - employees (3)" description="Connection to the 'employees (3)' query in the workbook." type="5" refreshedVersion="8" background="1" saveData="1">
    <dbPr connection="Provider=Microsoft.Mashup.OleDb.1;Data Source=$Workbook$;Location=&quot;employees (3)&quot;;Extended Properties=&quot;&quot;" command="SELECT * FROM [employees (3)]"/>
  </connection>
  <connection id="5" xr16:uid="{44451125-137E-4A47-B737-1A2DF47BC359}" keepAlive="1" name="Query - Forecasting" description="Connection to the 'Forecasting' query in the workbook." type="5" refreshedVersion="8" background="1" saveData="1">
    <dbPr connection="Provider=Microsoft.Mashup.OleDb.1;Data Source=$Workbook$;Location=Forecasting;Extended Properties=&quot;&quot;" command="SELECT * FROM [Forecasting]"/>
  </connection>
  <connection id="6" xr16:uid="{2ED8513E-A3DD-4946-97D6-6C99A5B76CDA}"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7" xr16:uid="{CB0DE4E3-D0BA-4DD3-B924-35743987EF9A}" keepAlive="1" name="Query - Product DIS" description="Connection to the 'Product DIS' query in the workbook." type="5" refreshedVersion="8" background="1" saveData="1">
    <dbPr connection="Provider=Microsoft.Mashup.OleDb.1;Data Source=$Workbook$;Location=&quot;Product DIS&quot;;Extended Properties=&quot;&quot;" command="SELECT * FROM [Product DIS]"/>
  </connection>
</connections>
</file>

<file path=xl/sharedStrings.xml><?xml version="1.0" encoding="utf-8"?>
<sst xmlns="http://schemas.openxmlformats.org/spreadsheetml/2006/main" count="2433" uniqueCount="218">
  <si>
    <t>Store ID</t>
  </si>
  <si>
    <t>Store Name</t>
  </si>
  <si>
    <t>Country</t>
  </si>
  <si>
    <t>City</t>
  </si>
  <si>
    <t>Year</t>
  </si>
  <si>
    <t>Store_Tier</t>
  </si>
  <si>
    <t xml:space="preserve"> Quantity</t>
  </si>
  <si>
    <t>Total Sales USD</t>
  </si>
  <si>
    <t>Total Profit</t>
  </si>
  <si>
    <t>Return_Rate_Percentage</t>
  </si>
  <si>
    <t>Store New York</t>
  </si>
  <si>
    <t>United States</t>
  </si>
  <si>
    <t>New York</t>
  </si>
  <si>
    <t>Tier A (High Profit)</t>
  </si>
  <si>
    <t>Tier C (Low Profit)</t>
  </si>
  <si>
    <t>Store Los Angeles</t>
  </si>
  <si>
    <t>Los Angeles</t>
  </si>
  <si>
    <t>Store Chicago</t>
  </si>
  <si>
    <t>Chicago</t>
  </si>
  <si>
    <t>Tier B (Medium Profit)</t>
  </si>
  <si>
    <t>Store Houston</t>
  </si>
  <si>
    <t>Houston</t>
  </si>
  <si>
    <t>Store Phoenix</t>
  </si>
  <si>
    <t>Phoenix</t>
  </si>
  <si>
    <t>Store Shanghai</t>
  </si>
  <si>
    <t>China</t>
  </si>
  <si>
    <t>Shanghai</t>
  </si>
  <si>
    <t>Store Beijing</t>
  </si>
  <si>
    <t>Beijing</t>
  </si>
  <si>
    <t>Store Guangzhou</t>
  </si>
  <si>
    <t>Guangzhou</t>
  </si>
  <si>
    <t>Store Shenzhen</t>
  </si>
  <si>
    <t>Shenzhen</t>
  </si>
  <si>
    <t>Store Chongqing</t>
  </si>
  <si>
    <t>Chongqing</t>
  </si>
  <si>
    <t>Store Berlin</t>
  </si>
  <si>
    <t>Germany</t>
  </si>
  <si>
    <t>Berlin</t>
  </si>
  <si>
    <t>Store Hamburg</t>
  </si>
  <si>
    <t>Hamburg</t>
  </si>
  <si>
    <t>Store Munich</t>
  </si>
  <si>
    <t>Munich</t>
  </si>
  <si>
    <t>Store  Cologne</t>
  </si>
  <si>
    <t xml:space="preserve"> Cologne</t>
  </si>
  <si>
    <t>Store Frankfurt</t>
  </si>
  <si>
    <t>Frankfurt</t>
  </si>
  <si>
    <t>Store London</t>
  </si>
  <si>
    <t>United Kingdom</t>
  </si>
  <si>
    <t>London</t>
  </si>
  <si>
    <t>Store Birmingham</t>
  </si>
  <si>
    <t>Birmingham</t>
  </si>
  <si>
    <t>Store Glasgow</t>
  </si>
  <si>
    <t>Glasgow</t>
  </si>
  <si>
    <t>Store Liverpool</t>
  </si>
  <si>
    <t>Liverpool</t>
  </si>
  <si>
    <t>Store Bristol</t>
  </si>
  <si>
    <t>Bristol</t>
  </si>
  <si>
    <t>Store Paris</t>
  </si>
  <si>
    <t>France</t>
  </si>
  <si>
    <t>Paris</t>
  </si>
  <si>
    <t>Store Marseille</t>
  </si>
  <si>
    <t>Marseille</t>
  </si>
  <si>
    <t>Store Lyon</t>
  </si>
  <si>
    <t>Lyon</t>
  </si>
  <si>
    <t>Store Toulouse</t>
  </si>
  <si>
    <t>Toulouse</t>
  </si>
  <si>
    <t>Store Nice</t>
  </si>
  <si>
    <t>Nice</t>
  </si>
  <si>
    <t>Store Madrid</t>
  </si>
  <si>
    <t>Spain</t>
  </si>
  <si>
    <t>Madrid</t>
  </si>
  <si>
    <t>Store Barcelona</t>
  </si>
  <si>
    <t>Barcelona</t>
  </si>
  <si>
    <t>Store Valencia</t>
  </si>
  <si>
    <t>Valencia</t>
  </si>
  <si>
    <t>Store Sevilla</t>
  </si>
  <si>
    <t>Sevilla</t>
  </si>
  <si>
    <t>Store Zaragoza</t>
  </si>
  <si>
    <t>Zaragoza</t>
  </si>
  <si>
    <t>Store Lisbon</t>
  </si>
  <si>
    <t>Portugal</t>
  </si>
  <si>
    <t>Lisbon</t>
  </si>
  <si>
    <t>Store Porto</t>
  </si>
  <si>
    <t>Porto</t>
  </si>
  <si>
    <t>Store Braga</t>
  </si>
  <si>
    <t>Braga</t>
  </si>
  <si>
    <t>Store Guimarães</t>
  </si>
  <si>
    <t>Guimarães</t>
  </si>
  <si>
    <t>Store Coimbra</t>
  </si>
  <si>
    <t>Coimbra</t>
  </si>
  <si>
    <t>Category</t>
  </si>
  <si>
    <t>Sub Category</t>
  </si>
  <si>
    <t>Total Quantity</t>
  </si>
  <si>
    <t>Total Production Cost</t>
  </si>
  <si>
    <t>Children</t>
  </si>
  <si>
    <t>Accessories</t>
  </si>
  <si>
    <t>Baby (0-12 months)</t>
  </si>
  <si>
    <t>Coats</t>
  </si>
  <si>
    <t>Girl and Boy (1-5 years, 6-14 years)</t>
  </si>
  <si>
    <t>Pajamas</t>
  </si>
  <si>
    <t>Sweaters</t>
  </si>
  <si>
    <t>Feminine</t>
  </si>
  <si>
    <t>Coats and Blazers</t>
  </si>
  <si>
    <t>Dresses and Jumpsuits</t>
  </si>
  <si>
    <t>Lingerie and Pajamas</t>
  </si>
  <si>
    <t>Pants and Jeans</t>
  </si>
  <si>
    <t>Shirts and Blouses</t>
  </si>
  <si>
    <t>Skirts and Shorts</t>
  </si>
  <si>
    <t>Sportswear</t>
  </si>
  <si>
    <t>Suits and Sets</t>
  </si>
  <si>
    <t>Sweaters and Knitwear</t>
  </si>
  <si>
    <t>T-shirts and Tops</t>
  </si>
  <si>
    <t>Masculine</t>
  </si>
  <si>
    <t>Shirts</t>
  </si>
  <si>
    <t>Suits and Blazers</t>
  </si>
  <si>
    <t>Sweaters and Sweatshirts</t>
  </si>
  <si>
    <t>T-shirts and Polos</t>
  </si>
  <si>
    <t>Underwear and Pajamas</t>
  </si>
  <si>
    <t xml:space="preserve"> Total Sales Before DIS</t>
  </si>
  <si>
    <t>Total Discount Amount</t>
  </si>
  <si>
    <t>AVG Discount%</t>
  </si>
  <si>
    <t>Employee ID</t>
  </si>
  <si>
    <t>Name</t>
  </si>
  <si>
    <t>Position</t>
  </si>
  <si>
    <t>Kathleen Thomas</t>
  </si>
  <si>
    <t>Sales Associate</t>
  </si>
  <si>
    <t>Lance Schultz</t>
  </si>
  <si>
    <t>David Pitts</t>
  </si>
  <si>
    <t>Allison Young</t>
  </si>
  <si>
    <t>Heather Wilson</t>
  </si>
  <si>
    <t>Carl Walters</t>
  </si>
  <si>
    <t>Caroline Hall</t>
  </si>
  <si>
    <t>Quarter</t>
  </si>
  <si>
    <t>Month</t>
  </si>
  <si>
    <t>Day</t>
  </si>
  <si>
    <t>Qtr 1</t>
  </si>
  <si>
    <t>January</t>
  </si>
  <si>
    <t>February</t>
  </si>
  <si>
    <t>March</t>
  </si>
  <si>
    <t>Qtr 2</t>
  </si>
  <si>
    <t>April</t>
  </si>
  <si>
    <t>May</t>
  </si>
  <si>
    <t>June</t>
  </si>
  <si>
    <t>Qtr 3</t>
  </si>
  <si>
    <t>July</t>
  </si>
  <si>
    <t>August</t>
  </si>
  <si>
    <t>September</t>
  </si>
  <si>
    <t>Qtr 4</t>
  </si>
  <si>
    <t>October</t>
  </si>
  <si>
    <t>November</t>
  </si>
  <si>
    <t>December</t>
  </si>
  <si>
    <t>Profit Margin %</t>
  </si>
  <si>
    <t>Row Labels</t>
  </si>
  <si>
    <t>Grand Total</t>
  </si>
  <si>
    <t>Sum of Total Sales USD</t>
  </si>
  <si>
    <t>Sum of Total Profit</t>
  </si>
  <si>
    <t>China Total</t>
  </si>
  <si>
    <t>France Total</t>
  </si>
  <si>
    <t>Germany Total</t>
  </si>
  <si>
    <t>Portugal Total</t>
  </si>
  <si>
    <t>Spain Total</t>
  </si>
  <si>
    <t>United Kingdom Total</t>
  </si>
  <si>
    <t>United States Total</t>
  </si>
  <si>
    <t>Geographic Performance by Store Tier</t>
  </si>
  <si>
    <t xml:space="preserve">  Quantity</t>
  </si>
  <si>
    <t xml:space="preserve"> Total Sales USD</t>
  </si>
  <si>
    <t xml:space="preserve"> Total Profit</t>
  </si>
  <si>
    <t xml:space="preserve"> Total Production Cost</t>
  </si>
  <si>
    <t xml:space="preserve"> Profit Margin %</t>
  </si>
  <si>
    <t>Children Total</t>
  </si>
  <si>
    <t>Feminine Total</t>
  </si>
  <si>
    <t>Masculine Total</t>
  </si>
  <si>
    <t>Product Profitability By Category &amp; Sub Category</t>
  </si>
  <si>
    <t xml:space="preserve">  Total Sales Before DIS</t>
  </si>
  <si>
    <t xml:space="preserve"> Total Discount Amount</t>
  </si>
  <si>
    <t xml:space="preserve"> AVG Discount%</t>
  </si>
  <si>
    <t>Sales Discount Dependency</t>
  </si>
  <si>
    <t>Huang Xiang</t>
  </si>
  <si>
    <t>Luo Bin</t>
  </si>
  <si>
    <t>Liang Xin</t>
  </si>
  <si>
    <t>Customer ID</t>
  </si>
  <si>
    <t>Name_EN</t>
  </si>
  <si>
    <t>City_EN</t>
  </si>
  <si>
    <t>Gender</t>
  </si>
  <si>
    <t>Job Title</t>
  </si>
  <si>
    <t>Gu Min</t>
  </si>
  <si>
    <t>F</t>
  </si>
  <si>
    <t>Social research officer, government</t>
  </si>
  <si>
    <t>Wang Bin</t>
  </si>
  <si>
    <t>Web designer</t>
  </si>
  <si>
    <t>Xue Jian Hua</t>
  </si>
  <si>
    <t>Estate agent</t>
  </si>
  <si>
    <t>Bai Xiu Hua</t>
  </si>
  <si>
    <t>Engineer, site</t>
  </si>
  <si>
    <t>Zhao Gui Rong</t>
  </si>
  <si>
    <t>Multimedia programmer</t>
  </si>
  <si>
    <t>Wang Qian</t>
  </si>
  <si>
    <t>Journalist, broadcasting</t>
  </si>
  <si>
    <t>Guo Xiu Mei</t>
  </si>
  <si>
    <t>Public relations officer</t>
  </si>
  <si>
    <t>Qi Xiu Fang</t>
  </si>
  <si>
    <t>Insurance claims handler</t>
  </si>
  <si>
    <t>Ren Jing</t>
  </si>
  <si>
    <t>Designer, blown glass/stained glass</t>
  </si>
  <si>
    <t xml:space="preserve">Top 10 Customers by loyalty Rank </t>
  </si>
  <si>
    <t>Column Labels</t>
  </si>
  <si>
    <t>Average of Return_Rate_Percentage</t>
  </si>
  <si>
    <t>Stores Overview</t>
  </si>
  <si>
    <t>Sum of Total Sales USD2</t>
  </si>
  <si>
    <t>Forecasting for the rest of March 2025</t>
  </si>
  <si>
    <t>Time Gone</t>
  </si>
  <si>
    <t>Forecasting</t>
  </si>
  <si>
    <t>Forecasting for the rest of 2025</t>
  </si>
  <si>
    <t>Lower Bound</t>
  </si>
  <si>
    <t>Forecasting With Stable Growth Rate</t>
  </si>
  <si>
    <t>Upper Bound</t>
  </si>
  <si>
    <t>Column1</t>
  </si>
  <si>
    <t>Top 10 Employees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</si>
</sst>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quot;$&quot;* #,##0_);_(&quot;$&quot;* \(#,##0\);_(&quot;$&quot;* &quot;-&quot;??_);_(@_)"/>
    <numFmt numFmtId="165" formatCode="_(* #,##0_);_(* \(#,##0\);_(* &quot;-&quot;??_);_(@_)"/>
  </numFmts>
  <fonts count="22"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b/>
      <sz val="26"/>
      <color theme="0"/>
      <name val="Arial"/>
      <family val="2"/>
      <scheme val="minor"/>
    </font>
    <font>
      <b/>
      <sz val="20"/>
      <color theme="0"/>
      <name val="Arial"/>
      <family val="2"/>
      <scheme val="minor"/>
    </font>
    <font>
      <b/>
      <sz val="22"/>
      <color theme="0"/>
      <name val="Arial"/>
      <family val="2"/>
      <scheme val="minor"/>
    </font>
    <font>
      <b/>
      <sz val="18"/>
      <color theme="0"/>
      <name val="Arial"/>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249977111117893"/>
        <bgColor indexed="64"/>
      </patternFill>
    </fill>
    <fill>
      <patternFill patternType="solid">
        <fgColor rgb="FF2A4640"/>
        <bgColor indexed="64"/>
      </patternFill>
    </fill>
    <fill>
      <patternFill patternType="solid">
        <fgColor rgb="FFFDC445"/>
        <bgColor indexed="64"/>
      </patternFill>
    </fill>
    <fill>
      <patternFill patternType="solid">
        <fgColor rgb="FFF3F4F9"/>
        <bgColor indexed="64"/>
      </patternFill>
    </fill>
    <fill>
      <patternFill patternType="solid">
        <fgColor theme="4" tint="0.59999389629810485"/>
        <bgColor indexed="64"/>
      </patternFill>
    </fill>
    <fill>
      <patternFill patternType="solid">
        <fgColor theme="5" tint="0.59999389629810485"/>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right style="thin">
        <color rgb="FFABABAB"/>
      </right>
      <top style="thin">
        <color rgb="FFABABAB"/>
      </top>
      <bottom style="thin">
        <color rgb="FFABABAB"/>
      </bottom>
      <diagonal/>
    </border>
    <border>
      <left style="thin">
        <color rgb="FFABABAB"/>
      </left>
      <right/>
      <top style="thin">
        <color indexed="64"/>
      </top>
      <bottom/>
      <diagonal/>
    </border>
    <border>
      <left/>
      <right style="thin">
        <color rgb="FFABABAB"/>
      </right>
      <top style="thin">
        <color indexed="64"/>
      </top>
      <bottom/>
      <diagonal/>
    </border>
    <border>
      <left style="double">
        <color rgb="FF3F3F3F"/>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rgb="FF7F7F7F"/>
      </right>
      <top/>
      <bottom/>
      <diagonal/>
    </border>
  </borders>
  <cellStyleXfs count="4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9" fontId="0" fillId="0" borderId="0" xfId="3" applyFont="1"/>
    <xf numFmtId="10" fontId="0" fillId="0" borderId="0" xfId="3" applyNumberFormat="1" applyFont="1"/>
    <xf numFmtId="164" fontId="0" fillId="0" borderId="0" xfId="2" applyNumberFormat="1" applyFont="1"/>
    <xf numFmtId="165"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0" fontId="0" fillId="0" borderId="0" xfId="0" applyAlignment="1">
      <alignment horizontal="center"/>
    </xf>
    <xf numFmtId="0" fontId="0" fillId="0" borderId="0" xfId="0" pivotButton="1" applyAlignment="1">
      <alignment horizontal="center"/>
    </xf>
    <xf numFmtId="165" fontId="0" fillId="0" borderId="0" xfId="0" applyNumberFormat="1" applyAlignment="1">
      <alignment horizontal="center"/>
    </xf>
    <xf numFmtId="164" fontId="0" fillId="0" borderId="0" xfId="0" applyNumberFormat="1" applyAlignment="1">
      <alignment horizontal="center"/>
    </xf>
    <xf numFmtId="9" fontId="0" fillId="0" borderId="0" xfId="3" applyFont="1" applyAlignment="1">
      <alignment horizontal="center"/>
    </xf>
    <xf numFmtId="9" fontId="0" fillId="0" borderId="0" xfId="0" applyNumberFormat="1" applyAlignment="1">
      <alignment horizontal="center"/>
    </xf>
    <xf numFmtId="0" fontId="0" fillId="0" borderId="0" xfId="0" applyAlignment="1">
      <alignment horizontal="left" indent="2"/>
    </xf>
    <xf numFmtId="165" fontId="0" fillId="0" borderId="0" xfId="1" applyNumberFormat="1" applyFont="1" applyAlignment="1">
      <alignment horizontal="center"/>
    </xf>
    <xf numFmtId="164" fontId="0" fillId="0" borderId="0" xfId="2" applyNumberFormat="1" applyFont="1" applyAlignment="1">
      <alignment horizontal="center"/>
    </xf>
    <xf numFmtId="10" fontId="0" fillId="0" borderId="0" xfId="0" applyNumberFormat="1"/>
    <xf numFmtId="0" fontId="0" fillId="36" borderId="0" xfId="0" applyFill="1"/>
    <xf numFmtId="0" fontId="13" fillId="34" borderId="10" xfId="0" applyFont="1" applyFill="1" applyBorder="1" applyAlignment="1">
      <alignment horizontal="center"/>
    </xf>
    <xf numFmtId="165" fontId="16" fillId="35" borderId="11" xfId="0" applyNumberFormat="1" applyFont="1" applyFill="1" applyBorder="1" applyAlignment="1">
      <alignment horizontal="center"/>
    </xf>
    <xf numFmtId="164" fontId="16" fillId="35" borderId="12" xfId="0" applyNumberFormat="1" applyFont="1" applyFill="1" applyBorder="1" applyAlignment="1">
      <alignment horizontal="center"/>
    </xf>
    <xf numFmtId="10" fontId="16" fillId="35" borderId="13" xfId="0" applyNumberFormat="1" applyFont="1" applyFill="1" applyBorder="1" applyAlignment="1">
      <alignment horizontal="center"/>
    </xf>
    <xf numFmtId="0" fontId="13" fillId="34" borderId="14" xfId="0" applyFont="1" applyFill="1" applyBorder="1" applyAlignment="1">
      <alignment horizontal="center"/>
    </xf>
    <xf numFmtId="0" fontId="13" fillId="34" borderId="15" xfId="0" applyFont="1" applyFill="1" applyBorder="1" applyAlignment="1">
      <alignment horizontal="center"/>
    </xf>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18" xfId="0" applyBorder="1" applyAlignment="1">
      <alignment horizontal="center"/>
    </xf>
    <xf numFmtId="9" fontId="0" fillId="0" borderId="0" xfId="3" applyFont="1" applyBorder="1" applyAlignment="1">
      <alignment horizontal="center"/>
    </xf>
    <xf numFmtId="164" fontId="0" fillId="0" borderId="0" xfId="2" applyNumberFormat="1" applyFont="1" applyBorder="1" applyAlignment="1">
      <alignment horizontal="center"/>
    </xf>
    <xf numFmtId="0" fontId="0" fillId="0" borderId="23" xfId="0" applyBorder="1" applyAlignment="1">
      <alignment horizontal="center"/>
    </xf>
    <xf numFmtId="0" fontId="6" fillId="2" borderId="0" xfId="9" applyBorder="1" applyAlignment="1">
      <alignment horizontal="center"/>
    </xf>
    <xf numFmtId="0" fontId="8" fillId="4" borderId="0" xfId="11" applyBorder="1" applyAlignment="1">
      <alignment horizontal="center"/>
    </xf>
    <xf numFmtId="0" fontId="13" fillId="7" borderId="0" xfId="16" applyBorder="1" applyAlignment="1">
      <alignment horizontal="center"/>
    </xf>
    <xf numFmtId="0" fontId="16" fillId="37" borderId="0" xfId="14" applyFont="1" applyFill="1" applyBorder="1" applyAlignment="1">
      <alignment horizontal="center"/>
    </xf>
    <xf numFmtId="0" fontId="16" fillId="37" borderId="25" xfId="14" applyFont="1" applyFill="1" applyBorder="1" applyAlignment="1">
      <alignment horizontal="center"/>
    </xf>
    <xf numFmtId="0" fontId="7" fillId="3" borderId="0" xfId="10" applyBorder="1" applyAlignment="1">
      <alignment horizontal="center"/>
    </xf>
    <xf numFmtId="0" fontId="0" fillId="38" borderId="0" xfId="0" applyFill="1" applyAlignment="1">
      <alignment horizontal="center"/>
    </xf>
    <xf numFmtId="0" fontId="13" fillId="7" borderId="16" xfId="16" applyBorder="1" applyAlignment="1">
      <alignment horizontal="center"/>
    </xf>
    <xf numFmtId="0" fontId="21" fillId="33" borderId="0" xfId="0" applyFont="1" applyFill="1" applyAlignment="1">
      <alignment horizontal="center"/>
    </xf>
    <xf numFmtId="0" fontId="0" fillId="33" borderId="0" xfId="0" applyFill="1" applyAlignment="1">
      <alignment horizontal="center"/>
    </xf>
    <xf numFmtId="0" fontId="19" fillId="33" borderId="0" xfId="0" applyFont="1" applyFill="1" applyAlignment="1">
      <alignment horizontal="center"/>
    </xf>
    <xf numFmtId="0" fontId="20" fillId="33" borderId="0" xfId="0" applyFont="1" applyFill="1" applyAlignment="1">
      <alignment horizontal="center"/>
    </xf>
    <xf numFmtId="0" fontId="18" fillId="34" borderId="0" xfId="0" applyFont="1" applyFill="1" applyAlignment="1">
      <alignment horizontal="center"/>
    </xf>
  </cellXfs>
  <cellStyles count="45">
    <cellStyle name="20% - Accent1" xfId="22" builtinId="30" customBuiltin="1"/>
    <cellStyle name="20% - Accent2" xfId="26" builtinId="34" customBuiltin="1"/>
    <cellStyle name="20% - Accent3" xfId="30" builtinId="38" customBuiltin="1"/>
    <cellStyle name="20% - Accent4" xfId="34" builtinId="42" customBuiltin="1"/>
    <cellStyle name="20% - Accent5" xfId="38" builtinId="46" customBuiltin="1"/>
    <cellStyle name="20% - Accent6" xfId="42" builtinId="50" customBuiltin="1"/>
    <cellStyle name="40% - Accent1" xfId="23" builtinId="31" customBuiltin="1"/>
    <cellStyle name="40% - Accent2" xfId="27" builtinId="35" customBuiltin="1"/>
    <cellStyle name="40% - Accent3" xfId="31" builtinId="39" customBuiltin="1"/>
    <cellStyle name="40% - Accent4" xfId="35" builtinId="43" customBuiltin="1"/>
    <cellStyle name="40% - Accent5" xfId="39" builtinId="47" customBuiltin="1"/>
    <cellStyle name="40% - Accent6" xfId="43" builtinId="51" customBuiltin="1"/>
    <cellStyle name="60% - Accent1" xfId="24" builtinId="32" customBuiltin="1"/>
    <cellStyle name="60% - Accent2" xfId="28" builtinId="36" customBuiltin="1"/>
    <cellStyle name="60% - Accent3" xfId="32" builtinId="40" customBuiltin="1"/>
    <cellStyle name="60% - Accent4" xfId="36" builtinId="44" customBuiltin="1"/>
    <cellStyle name="60% - Accent5" xfId="40" builtinId="48" customBuiltin="1"/>
    <cellStyle name="60% - Accent6" xfId="44" builtinId="52" customBuiltin="1"/>
    <cellStyle name="Accent1" xfId="21" builtinId="29" customBuiltin="1"/>
    <cellStyle name="Accent2" xfId="25" builtinId="33" customBuiltin="1"/>
    <cellStyle name="Accent3" xfId="29" builtinId="37" customBuiltin="1"/>
    <cellStyle name="Accent4" xfId="33" builtinId="41" customBuiltin="1"/>
    <cellStyle name="Accent5" xfId="37" builtinId="45" customBuiltin="1"/>
    <cellStyle name="Accent6" xfId="41" builtinId="49" customBuiltin="1"/>
    <cellStyle name="Bad" xfId="10" builtinId="27" customBuiltin="1"/>
    <cellStyle name="Calculation" xfId="14" builtinId="22" customBuiltin="1"/>
    <cellStyle name="Check Cell" xfId="16" builtinId="23" customBuiltin="1"/>
    <cellStyle name="Comma" xfId="1" builtinId="3"/>
    <cellStyle name="Currency" xfId="2" builtinId="4"/>
    <cellStyle name="Explanatory Text" xfId="19" builtinId="53" customBuiltin="1"/>
    <cellStyle name="Good" xfId="9" builtinId="26" customBuiltin="1"/>
    <cellStyle name="Heading 1" xfId="5" builtinId="16" customBuiltin="1"/>
    <cellStyle name="Heading 2" xfId="6" builtinId="17" customBuiltin="1"/>
    <cellStyle name="Heading 3" xfId="7" builtinId="18" customBuiltin="1"/>
    <cellStyle name="Heading 4" xfId="8" builtinId="19" customBuiltin="1"/>
    <cellStyle name="Input" xfId="12" builtinId="20" customBuiltin="1"/>
    <cellStyle name="Linked Cell" xfId="15" builtinId="24" customBuiltin="1"/>
    <cellStyle name="Neutral" xfId="11" builtinId="28" customBuiltin="1"/>
    <cellStyle name="Normal" xfId="0" builtinId="0"/>
    <cellStyle name="Note" xfId="18" builtinId="10" customBuiltin="1"/>
    <cellStyle name="Output" xfId="13" builtinId="21" customBuiltin="1"/>
    <cellStyle name="Percent" xfId="3" builtinId="5"/>
    <cellStyle name="Title" xfId="4" builtinId="15" customBuiltin="1"/>
    <cellStyle name="Total" xfId="20" builtinId="25" customBuiltin="1"/>
    <cellStyle name="Warning Text" xfId="17" builtinId="11" customBuiltin="1"/>
  </cellStyles>
  <dxfs count="81">
    <dxf>
      <numFmt numFmtId="164" formatCode="_(&quot;$&quot;* #,##0_);_(&quot;$&quot;* \(#,##0\);_(&quot;$&quot;* &quot;-&quot;??_);_(@_)"/>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border>
        <top style="thin">
          <color indexed="64"/>
        </top>
      </border>
    </dxf>
    <dxf>
      <alignment horizontal="center"/>
    </dxf>
    <dxf>
      <alignment horizontal="center"/>
    </dxf>
    <dxf>
      <alignment horizontal="center"/>
    </dxf>
    <dxf>
      <font>
        <b/>
      </font>
    </dxf>
    <dxf>
      <font>
        <b/>
      </font>
    </dxf>
    <dxf>
      <font>
        <b/>
      </font>
    </dxf>
    <dxf>
      <fill>
        <patternFill patternType="solid">
          <bgColor rgb="FFFDC445"/>
        </patternFill>
      </fill>
    </dxf>
    <dxf>
      <font>
        <color theme="0"/>
      </font>
    </dxf>
    <dxf>
      <fill>
        <patternFill patternType="solid">
          <bgColor rgb="FF2A4640"/>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_(&quot;$&quot;* #,##0_);_(&quot;$&quot;* \(#,##0\);_(&quot;$&quot;* &quot;-&quot;??_);_(@_)"/>
      <alignment horizontal="center" vertical="bottom" textRotation="0" wrapText="0" indent="0" justifyLastLine="0" shrinkToFit="0" readingOrder="0"/>
    </dxf>
    <dxf>
      <numFmt numFmtId="165" formatCode="_(* #,##0_);_(* \(#,##0\);_(* &quot;-&quot;??_);_(@_)"/>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_(&quot;$&quot;* #,##0_);_(&quot;$&quot;* \(#,##0\);_(&quot;$&quot;* &quot;-&quot;??_);_(@_)"/>
    </dxf>
    <dxf>
      <numFmt numFmtId="0" formatCode="General"/>
    </dxf>
    <dxf>
      <numFmt numFmtId="0" formatCode="General"/>
    </dxf>
    <dxf>
      <numFmt numFmtId="164" formatCode="_(&quot;$&quot;* #,##0_);_(&quot;$&quot;* \(#,##0\);_(&quot;$&quot;* &quot;-&quot;??_);_(@_)"/>
    </dxf>
    <dxf>
      <numFmt numFmtId="164" formatCode="_(&quot;$&quot;* #,##0_);_(&quot;$&quot;* \(#,##0\);_(&quot;$&quot;* &quot;-&quot;??_);_(@_)"/>
    </dxf>
    <dxf>
      <numFmt numFmtId="164" formatCode="_(&quot;$&quot;* #,##0_);_(&quot;$&quot;* \(#,##0\);_(&quot;$&quot;* &quot;-&quot;??_);_(@_)"/>
    </dxf>
    <dxf>
      <numFmt numFmtId="0" formatCode="General"/>
    </dxf>
    <dxf>
      <numFmt numFmtId="0" formatCode="General"/>
    </dxf>
    <dxf>
      <numFmt numFmtId="14" formatCode="0.00%"/>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 #,##0_);_(* \(#,##0\);_(* &quot;-&quot;??_);_(@_)"/>
    </dxf>
    <dxf>
      <numFmt numFmtId="0" formatCode="General"/>
    </dxf>
    <dxf>
      <numFmt numFmtId="0" formatCode="General"/>
    </dxf>
    <dxf>
      <numFmt numFmtId="13" formatCode="0%"/>
    </dxf>
    <dxf>
      <numFmt numFmtId="14" formatCode="0.00%"/>
    </dxf>
    <dxf>
      <numFmt numFmtId="164" formatCode="_(&quot;$&quot;* #,##0_);_(&quot;$&quot;* \(#,##0\);_(&quot;$&quot;* &quot;-&quot;??_);_(@_)"/>
    </dxf>
    <dxf>
      <numFmt numFmtId="164" formatCode="_(&quot;$&quot;* #,##0_);_(&quot;$&quot;* \(#,##0\);_(&quot;$&quot;* &quot;-&quot;??_);_(@_)"/>
    </dxf>
    <dxf>
      <numFmt numFmtId="165" formatCode="_(* #,##0_);_(* \(#,##0\);_(* &quot;-&quot;??_);_(@_)"/>
    </dxf>
  </dxfs>
  <tableStyles count="0" defaultTableStyle="TableStyleMedium2" defaultPivotStyle="PivotStyleLight16"/>
  <colors>
    <mruColors>
      <color rgb="FFFDC445"/>
      <color rgb="FF2A4640"/>
      <color rgb="FFF3F4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2A46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FDC445"/>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276093483925929E-2"/>
          <c:y val="3.2789097239133771E-2"/>
          <c:w val="0.93888888888888888"/>
          <c:h val="0.79224482356372117"/>
        </c:manualLayout>
      </c:layout>
      <c:barChart>
        <c:barDir val="col"/>
        <c:grouping val="clustered"/>
        <c:varyColors val="0"/>
        <c:ser>
          <c:idx val="0"/>
          <c:order val="0"/>
          <c:tx>
            <c:strRef>
              <c:f>Charts!$B$3</c:f>
              <c:strCache>
                <c:ptCount val="1"/>
                <c:pt idx="0">
                  <c:v> Total Sales USD</c:v>
                </c:pt>
              </c:strCache>
            </c:strRef>
          </c:tx>
          <c:spPr>
            <a:solidFill>
              <a:srgbClr val="2A464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Charts!$A$4:$A$7</c:f>
              <c:strCache>
                <c:ptCount val="3"/>
                <c:pt idx="0">
                  <c:v>Tier A (High Profit)</c:v>
                </c:pt>
                <c:pt idx="1">
                  <c:v>Tier C (Low Profit)</c:v>
                </c:pt>
                <c:pt idx="2">
                  <c:v>Tier B (Medium Profit)</c:v>
                </c:pt>
              </c:strCache>
            </c:strRef>
          </c:cat>
          <c:val>
            <c:numRef>
              <c:f>Charts!$B$4:$B$7</c:f>
              <c:numCache>
                <c:formatCode>_("$"* #,##0_);_("$"* \(#,##0\);_("$"* "-"??_);_(@_)</c:formatCode>
                <c:ptCount val="3"/>
                <c:pt idx="0">
                  <c:v>125543180.88347246</c:v>
                </c:pt>
                <c:pt idx="1">
                  <c:v>111804056.62279494</c:v>
                </c:pt>
                <c:pt idx="2">
                  <c:v>46115567.023412883</c:v>
                </c:pt>
              </c:numCache>
            </c:numRef>
          </c:val>
          <c:extLst>
            <c:ext xmlns:c16="http://schemas.microsoft.com/office/drawing/2014/chart" uri="{C3380CC4-5D6E-409C-BE32-E72D297353CC}">
              <c16:uniqueId val="{00000000-319F-44A7-BFF7-A95F1B03ACA3}"/>
            </c:ext>
          </c:extLst>
        </c:ser>
        <c:dLbls>
          <c:showLegendKey val="0"/>
          <c:showVal val="1"/>
          <c:showCatName val="0"/>
          <c:showSerName val="0"/>
          <c:showPercent val="0"/>
          <c:showBubbleSize val="0"/>
        </c:dLbls>
        <c:gapWidth val="219"/>
        <c:overlap val="-27"/>
        <c:axId val="1277511904"/>
        <c:axId val="578076496"/>
      </c:barChart>
      <c:lineChart>
        <c:grouping val="standard"/>
        <c:varyColors val="0"/>
        <c:ser>
          <c:idx val="1"/>
          <c:order val="1"/>
          <c:tx>
            <c:strRef>
              <c:f>Charts!$C$3</c:f>
              <c:strCache>
                <c:ptCount val="1"/>
                <c:pt idx="0">
                  <c:v> Total Profit</c:v>
                </c:pt>
              </c:strCache>
            </c:strRef>
          </c:tx>
          <c:spPr>
            <a:ln w="28575" cap="rnd">
              <a:solidFill>
                <a:srgbClr val="FDC445"/>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Charts!$A$4:$A$7</c:f>
              <c:strCache>
                <c:ptCount val="3"/>
                <c:pt idx="0">
                  <c:v>Tier A (High Profit)</c:v>
                </c:pt>
                <c:pt idx="1">
                  <c:v>Tier C (Low Profit)</c:v>
                </c:pt>
                <c:pt idx="2">
                  <c:v>Tier B (Medium Profit)</c:v>
                </c:pt>
              </c:strCache>
            </c:strRef>
          </c:cat>
          <c:val>
            <c:numRef>
              <c:f>Charts!$C$4:$C$7</c:f>
              <c:numCache>
                <c:formatCode>_("$"* #,##0_);_("$"* \(#,##0\);_("$"* "-"??_);_(@_)</c:formatCode>
                <c:ptCount val="3"/>
                <c:pt idx="0">
                  <c:v>73946398.953472316</c:v>
                </c:pt>
                <c:pt idx="1">
                  <c:v>60805311.982794814</c:v>
                </c:pt>
                <c:pt idx="2">
                  <c:v>26338272.023413062</c:v>
                </c:pt>
              </c:numCache>
            </c:numRef>
          </c:val>
          <c:smooth val="0"/>
          <c:extLst>
            <c:ext xmlns:c16="http://schemas.microsoft.com/office/drawing/2014/chart" uri="{C3380CC4-5D6E-409C-BE32-E72D297353CC}">
              <c16:uniqueId val="{00000001-319F-44A7-BFF7-A95F1B03ACA3}"/>
            </c:ext>
          </c:extLst>
        </c:ser>
        <c:dLbls>
          <c:showLegendKey val="0"/>
          <c:showVal val="1"/>
          <c:showCatName val="0"/>
          <c:showSerName val="0"/>
          <c:showPercent val="0"/>
          <c:showBubbleSize val="0"/>
        </c:dLbls>
        <c:marker val="1"/>
        <c:smooth val="0"/>
        <c:axId val="1277511904"/>
        <c:axId val="578076496"/>
      </c:lineChart>
      <c:catAx>
        <c:axId val="1277511904"/>
        <c:scaling>
          <c:orientation val="minMax"/>
        </c:scaling>
        <c:delete val="1"/>
        <c:axPos val="b"/>
        <c:numFmt formatCode="General" sourceLinked="1"/>
        <c:majorTickMark val="out"/>
        <c:minorTickMark val="none"/>
        <c:tickLblPos val="nextTo"/>
        <c:crossAx val="578076496"/>
        <c:crosses val="autoZero"/>
        <c:auto val="1"/>
        <c:lblAlgn val="ctr"/>
        <c:lblOffset val="100"/>
        <c:noMultiLvlLbl val="0"/>
      </c:catAx>
      <c:valAx>
        <c:axId val="578076496"/>
        <c:scaling>
          <c:orientation val="minMax"/>
        </c:scaling>
        <c:delete val="1"/>
        <c:axPos val="l"/>
        <c:numFmt formatCode="_(&quot;$&quot;* #,##0_);_(&quot;$&quot;* \(#,##0\);_(&quot;$&quot;* &quot;-&quot;??_);_(@_)" sourceLinked="1"/>
        <c:majorTickMark val="out"/>
        <c:minorTickMark val="none"/>
        <c:tickLblPos val="nextTo"/>
        <c:crossAx val="1277511904"/>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project.xlsx]Charts!PivotTable6</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ar-EG"/>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rgbClr val="2A4640"/>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Charts!$B$22:$B$23</c:f>
              <c:strCache>
                <c:ptCount val="1"/>
                <c:pt idx="0">
                  <c:v>2023</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Charts!$A$24:$A$31</c:f>
              <c:strCache>
                <c:ptCount val="7"/>
                <c:pt idx="0">
                  <c:v>China</c:v>
                </c:pt>
                <c:pt idx="1">
                  <c:v>France</c:v>
                </c:pt>
                <c:pt idx="2">
                  <c:v>Germany</c:v>
                </c:pt>
                <c:pt idx="3">
                  <c:v>Portugal</c:v>
                </c:pt>
                <c:pt idx="4">
                  <c:v>Spain</c:v>
                </c:pt>
                <c:pt idx="5">
                  <c:v>United Kingdom</c:v>
                </c:pt>
                <c:pt idx="6">
                  <c:v>United States</c:v>
                </c:pt>
              </c:strCache>
            </c:strRef>
          </c:cat>
          <c:val>
            <c:numRef>
              <c:f>Charts!$B$24:$B$31</c:f>
              <c:numCache>
                <c:formatCode>0.00%</c:formatCode>
                <c:ptCount val="7"/>
              </c:numCache>
            </c:numRef>
          </c:val>
          <c:smooth val="0"/>
          <c:extLst>
            <c:ext xmlns:c16="http://schemas.microsoft.com/office/drawing/2014/chart" uri="{C3380CC4-5D6E-409C-BE32-E72D297353CC}">
              <c16:uniqueId val="{00000000-2472-4782-A9FE-72292A57203C}"/>
            </c:ext>
          </c:extLst>
        </c:ser>
        <c:ser>
          <c:idx val="1"/>
          <c:order val="1"/>
          <c:tx>
            <c:strRef>
              <c:f>Charts!$C$22:$C$23</c:f>
              <c:strCache>
                <c:ptCount val="1"/>
                <c:pt idx="0">
                  <c:v>2024</c:v>
                </c:pt>
              </c:strCache>
            </c:strRef>
          </c:tx>
          <c:spPr>
            <a:ln w="34925" cap="rnd">
              <a:solidFill>
                <a:srgbClr val="2A4640"/>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Charts!$A$24:$A$31</c:f>
              <c:strCache>
                <c:ptCount val="7"/>
                <c:pt idx="0">
                  <c:v>China</c:v>
                </c:pt>
                <c:pt idx="1">
                  <c:v>France</c:v>
                </c:pt>
                <c:pt idx="2">
                  <c:v>Germany</c:v>
                </c:pt>
                <c:pt idx="3">
                  <c:v>Portugal</c:v>
                </c:pt>
                <c:pt idx="4">
                  <c:v>Spain</c:v>
                </c:pt>
                <c:pt idx="5">
                  <c:v>United Kingdom</c:v>
                </c:pt>
                <c:pt idx="6">
                  <c:v>United States</c:v>
                </c:pt>
              </c:strCache>
            </c:strRef>
          </c:cat>
          <c:val>
            <c:numRef>
              <c:f>Charts!$C$24:$C$31</c:f>
              <c:numCache>
                <c:formatCode>0.00%</c:formatCode>
                <c:ptCount val="7"/>
                <c:pt idx="0">
                  <c:v>0.36323175499869892</c:v>
                </c:pt>
                <c:pt idx="1">
                  <c:v>7.6372037675846521E-2</c:v>
                </c:pt>
                <c:pt idx="2">
                  <c:v>0.13650957607757125</c:v>
                </c:pt>
                <c:pt idx="3">
                  <c:v>-0.10463052545090125</c:v>
                </c:pt>
                <c:pt idx="4">
                  <c:v>0.23179258589668986</c:v>
                </c:pt>
                <c:pt idx="5">
                  <c:v>-3.5937013687274963E-2</c:v>
                </c:pt>
                <c:pt idx="6">
                  <c:v>9.9204034406727912E-2</c:v>
                </c:pt>
              </c:numCache>
            </c:numRef>
          </c:val>
          <c:smooth val="0"/>
          <c:extLst>
            <c:ext xmlns:c16="http://schemas.microsoft.com/office/drawing/2014/chart" uri="{C3380CC4-5D6E-409C-BE32-E72D297353CC}">
              <c16:uniqueId val="{00000001-2472-4782-A9FE-72292A57203C}"/>
            </c:ext>
          </c:extLst>
        </c:ser>
        <c:dLbls>
          <c:showLegendKey val="0"/>
          <c:showVal val="0"/>
          <c:showCatName val="0"/>
          <c:showSerName val="0"/>
          <c:showPercent val="0"/>
          <c:showBubbleSize val="0"/>
        </c:dLbls>
        <c:marker val="1"/>
        <c:smooth val="0"/>
        <c:axId val="1293628720"/>
        <c:axId val="578040016"/>
      </c:lineChart>
      <c:catAx>
        <c:axId val="1293628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78040016"/>
        <c:crosses val="autoZero"/>
        <c:auto val="1"/>
        <c:lblAlgn val="ctr"/>
        <c:lblOffset val="100"/>
        <c:noMultiLvlLbl val="0"/>
      </c:catAx>
      <c:valAx>
        <c:axId val="5780400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936287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ar-E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2A46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Charts!$B$39</c:f>
              <c:strCache>
                <c:ptCount val="1"/>
                <c:pt idx="0">
                  <c:v>Total</c:v>
                </c:pt>
              </c:strCache>
            </c:strRef>
          </c:tx>
          <c:spPr>
            <a:solidFill>
              <a:srgbClr val="2A464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Charts!$A$40:$A$47</c:f>
              <c:strCache>
                <c:ptCount val="7"/>
                <c:pt idx="0">
                  <c:v>Portugal</c:v>
                </c:pt>
                <c:pt idx="1">
                  <c:v>Germany</c:v>
                </c:pt>
                <c:pt idx="2">
                  <c:v>France</c:v>
                </c:pt>
                <c:pt idx="3">
                  <c:v>United States</c:v>
                </c:pt>
                <c:pt idx="4">
                  <c:v>China</c:v>
                </c:pt>
                <c:pt idx="5">
                  <c:v>United Kingdom</c:v>
                </c:pt>
                <c:pt idx="6">
                  <c:v>Spain</c:v>
                </c:pt>
              </c:strCache>
            </c:strRef>
          </c:cat>
          <c:val>
            <c:numRef>
              <c:f>Charts!$B$40:$B$47</c:f>
              <c:numCache>
                <c:formatCode>0.00%</c:formatCode>
                <c:ptCount val="7"/>
                <c:pt idx="0">
                  <c:v>5.4283095063431354E-2</c:v>
                </c:pt>
                <c:pt idx="1">
                  <c:v>5.4478018262200105E-2</c:v>
                </c:pt>
                <c:pt idx="2">
                  <c:v>5.5093985432233018E-2</c:v>
                </c:pt>
                <c:pt idx="3">
                  <c:v>5.5434251343219575E-2</c:v>
                </c:pt>
                <c:pt idx="4">
                  <c:v>5.5714537945550653E-2</c:v>
                </c:pt>
                <c:pt idx="5">
                  <c:v>5.623737479615494E-2</c:v>
                </c:pt>
                <c:pt idx="6">
                  <c:v>5.6716974334828391E-2</c:v>
                </c:pt>
              </c:numCache>
            </c:numRef>
          </c:val>
          <c:extLst>
            <c:ext xmlns:c16="http://schemas.microsoft.com/office/drawing/2014/chart" uri="{C3380CC4-5D6E-409C-BE32-E72D297353CC}">
              <c16:uniqueId val="{00000000-436A-4B2B-8250-2DC3A47F607F}"/>
            </c:ext>
          </c:extLst>
        </c:ser>
        <c:dLbls>
          <c:showLegendKey val="0"/>
          <c:showVal val="0"/>
          <c:showCatName val="0"/>
          <c:showSerName val="0"/>
          <c:showPercent val="0"/>
          <c:showBubbleSize val="0"/>
        </c:dLbls>
        <c:gapWidth val="182"/>
        <c:axId val="1293677440"/>
        <c:axId val="578086576"/>
      </c:barChart>
      <c:catAx>
        <c:axId val="129367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78086576"/>
        <c:crosses val="autoZero"/>
        <c:auto val="1"/>
        <c:lblAlgn val="ctr"/>
        <c:lblOffset val="100"/>
        <c:noMultiLvlLbl val="0"/>
      </c:catAx>
      <c:valAx>
        <c:axId val="57808657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93677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rgbClr val="2A46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DC445"/>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Charts!$B$59</c:f>
              <c:strCache>
                <c:ptCount val="1"/>
                <c:pt idx="0">
                  <c:v>Total</c:v>
                </c:pt>
              </c:strCache>
            </c:strRef>
          </c:tx>
          <c:spPr>
            <a:solidFill>
              <a:srgbClr val="2A464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DC445"/>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Charts!$A$60:$A$67</c:f>
              <c:strCache>
                <c:ptCount val="7"/>
                <c:pt idx="0">
                  <c:v>United Kingdom</c:v>
                </c:pt>
                <c:pt idx="1">
                  <c:v>Spain</c:v>
                </c:pt>
                <c:pt idx="2">
                  <c:v>Portugal</c:v>
                </c:pt>
                <c:pt idx="3">
                  <c:v>France</c:v>
                </c:pt>
                <c:pt idx="4">
                  <c:v>Germany</c:v>
                </c:pt>
                <c:pt idx="5">
                  <c:v>United States</c:v>
                </c:pt>
                <c:pt idx="6">
                  <c:v>China</c:v>
                </c:pt>
              </c:strCache>
            </c:strRef>
          </c:cat>
          <c:val>
            <c:numRef>
              <c:f>Charts!$B$60:$B$67</c:f>
              <c:numCache>
                <c:formatCode>_("$"* #,##0_);_("$"* \(#,##0\);_("$"* "-"??_);_(@_)</c:formatCode>
                <c:ptCount val="7"/>
                <c:pt idx="0">
                  <c:v>10678124.994999994</c:v>
                </c:pt>
                <c:pt idx="1">
                  <c:v>14174490.74808499</c:v>
                </c:pt>
                <c:pt idx="2">
                  <c:v>14369030.153546033</c:v>
                </c:pt>
                <c:pt idx="3">
                  <c:v>15933483.230046922</c:v>
                </c:pt>
                <c:pt idx="4">
                  <c:v>18330258.651498955</c:v>
                </c:pt>
                <c:pt idx="5">
                  <c:v>42741231.410000466</c:v>
                </c:pt>
                <c:pt idx="6">
                  <c:v>44863363.77150283</c:v>
                </c:pt>
              </c:numCache>
            </c:numRef>
          </c:val>
          <c:extLst>
            <c:ext xmlns:c16="http://schemas.microsoft.com/office/drawing/2014/chart" uri="{C3380CC4-5D6E-409C-BE32-E72D297353CC}">
              <c16:uniqueId val="{00000000-27D7-4D5E-99B7-63953C7C3612}"/>
            </c:ext>
          </c:extLst>
        </c:ser>
        <c:dLbls>
          <c:showLegendKey val="0"/>
          <c:showVal val="0"/>
          <c:showCatName val="0"/>
          <c:showSerName val="0"/>
          <c:showPercent val="0"/>
          <c:showBubbleSize val="0"/>
        </c:dLbls>
        <c:gapWidth val="150"/>
        <c:overlap val="100"/>
        <c:axId val="1293599488"/>
        <c:axId val="578093296"/>
      </c:barChart>
      <c:catAx>
        <c:axId val="129359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78093296"/>
        <c:crosses val="autoZero"/>
        <c:auto val="1"/>
        <c:lblAlgn val="ctr"/>
        <c:lblOffset val="100"/>
        <c:noMultiLvlLbl val="0"/>
      </c:catAx>
      <c:valAx>
        <c:axId val="578093296"/>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293599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project.xlsx]Charts!PivotTable7</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sz="1400" b="1" i="0" u="sng" strike="noStrike" kern="1200" cap="all" spc="50" baseline="0">
                <a:solidFill>
                  <a:sysClr val="windowText" lastClr="000000"/>
                </a:solidFill>
              </a:rPr>
              <a:t>average Return Rate By Country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endParaRPr lang="en-US"/>
          </a:p>
        </c:rich>
      </c:tx>
      <c:layout>
        <c:manualLayout>
          <c:xMode val="edge"/>
          <c:yMode val="edge"/>
          <c:x val="0.18144225375521991"/>
          <c:y val="3.100775193798449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ar-EG"/>
        </a:p>
      </c:txPr>
    </c:title>
    <c:autoTitleDeleted val="0"/>
    <c:pivotFmts>
      <c:pivotFmt>
        <c:idx val="0"/>
        <c:spPr>
          <a:solidFill>
            <a:srgbClr val="2A46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46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A464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FDC445"/>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Charts!$B$39</c:f>
              <c:strCache>
                <c:ptCount val="1"/>
                <c:pt idx="0">
                  <c:v>Total</c:v>
                </c:pt>
              </c:strCache>
            </c:strRef>
          </c:tx>
          <c:spPr>
            <a:solidFill>
              <a:srgbClr val="2A464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FDC445"/>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Charts!$A$40:$A$47</c:f>
              <c:strCache>
                <c:ptCount val="7"/>
                <c:pt idx="0">
                  <c:v>Portugal</c:v>
                </c:pt>
                <c:pt idx="1">
                  <c:v>Germany</c:v>
                </c:pt>
                <c:pt idx="2">
                  <c:v>France</c:v>
                </c:pt>
                <c:pt idx="3">
                  <c:v>United States</c:v>
                </c:pt>
                <c:pt idx="4">
                  <c:v>China</c:v>
                </c:pt>
                <c:pt idx="5">
                  <c:v>United Kingdom</c:v>
                </c:pt>
                <c:pt idx="6">
                  <c:v>Spain</c:v>
                </c:pt>
              </c:strCache>
            </c:strRef>
          </c:cat>
          <c:val>
            <c:numRef>
              <c:f>Charts!$B$40:$B$47</c:f>
              <c:numCache>
                <c:formatCode>0.00%</c:formatCode>
                <c:ptCount val="7"/>
                <c:pt idx="0">
                  <c:v>5.4283095063431354E-2</c:v>
                </c:pt>
                <c:pt idx="1">
                  <c:v>5.4478018262200105E-2</c:v>
                </c:pt>
                <c:pt idx="2">
                  <c:v>5.5093985432233018E-2</c:v>
                </c:pt>
                <c:pt idx="3">
                  <c:v>5.5434251343219575E-2</c:v>
                </c:pt>
                <c:pt idx="4">
                  <c:v>5.5714537945550653E-2</c:v>
                </c:pt>
                <c:pt idx="5">
                  <c:v>5.623737479615494E-2</c:v>
                </c:pt>
                <c:pt idx="6">
                  <c:v>5.6716974334828391E-2</c:v>
                </c:pt>
              </c:numCache>
            </c:numRef>
          </c:val>
          <c:extLst>
            <c:ext xmlns:c16="http://schemas.microsoft.com/office/drawing/2014/chart" uri="{C3380CC4-5D6E-409C-BE32-E72D297353CC}">
              <c16:uniqueId val="{00000000-F01D-4D55-B82E-F5E4A679CB5F}"/>
            </c:ext>
          </c:extLst>
        </c:ser>
        <c:dLbls>
          <c:showLegendKey val="0"/>
          <c:showVal val="0"/>
          <c:showCatName val="0"/>
          <c:showSerName val="0"/>
          <c:showPercent val="0"/>
          <c:showBubbleSize val="0"/>
        </c:dLbls>
        <c:gapWidth val="182"/>
        <c:axId val="1293677440"/>
        <c:axId val="578086576"/>
      </c:barChart>
      <c:catAx>
        <c:axId val="129367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578086576"/>
        <c:crosses val="autoZero"/>
        <c:auto val="1"/>
        <c:lblAlgn val="ctr"/>
        <c:lblOffset val="100"/>
        <c:noMultiLvlLbl val="0"/>
      </c:catAx>
      <c:valAx>
        <c:axId val="57808657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129367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DC445"/>
      </a:solidFill>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project.xlsx]Charts!PivotTable5</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400" b="1" i="0" u="sng" strike="noStrike" kern="1200" spc="0" baseline="0">
                <a:solidFill>
                  <a:sysClr val="windowText" lastClr="000000"/>
                </a:solidFill>
              </a:rPr>
              <a:t>Profitability Analysis by Store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ar-EG"/>
        </a:p>
      </c:txPr>
    </c:title>
    <c:autoTitleDeleted val="0"/>
    <c:pivotFmts>
      <c:pivotFmt>
        <c:idx val="0"/>
        <c:spPr>
          <a:solidFill>
            <a:srgbClr val="2A464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DC445"/>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A46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DC445"/>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A4640"/>
          </a:solidFill>
          <a:ln>
            <a:noFill/>
          </a:ln>
          <a:effectLst/>
        </c:spPr>
        <c:marker>
          <c:symbol val="none"/>
        </c:marker>
        <c:dLbl>
          <c:idx val="0"/>
          <c:spPr>
            <a:solidFill>
              <a:srgbClr val="2A4640"/>
            </a:solidFill>
            <a:ln>
              <a:noFill/>
            </a:ln>
            <a:effectLst/>
          </c:spPr>
          <c:txPr>
            <a:bodyPr rot="0" spcFirstLastPara="1" vertOverflow="ellipsis" vert="horz" wrap="square" anchor="ctr" anchorCtr="1"/>
            <a:lstStyle/>
            <a:p>
              <a:pPr>
                <a:defRPr sz="900" b="1" i="0" u="none" strike="noStrike" kern="1200" baseline="0">
                  <a:solidFill>
                    <a:srgbClr val="F3F4F9"/>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FDC445"/>
            </a:solidFill>
            <a:round/>
          </a:ln>
          <a:effectLst/>
        </c:spPr>
        <c:marker>
          <c:symbol val="circle"/>
          <c:size val="5"/>
          <c:spPr>
            <a:solidFill>
              <a:schemeClr val="accent2"/>
            </a:solidFill>
            <a:ln w="9525">
              <a:solidFill>
                <a:schemeClr val="accent2"/>
              </a:solidFill>
            </a:ln>
            <a:effectLst/>
          </c:spPr>
        </c:marker>
        <c:dLbl>
          <c:idx val="0"/>
          <c:spPr>
            <a:solidFill>
              <a:srgbClr val="FDC445"/>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7296113823369E-2"/>
          <c:y val="7.8608112130313601E-2"/>
          <c:w val="0.93888888888888888"/>
          <c:h val="0.79224482356372117"/>
        </c:manualLayout>
      </c:layout>
      <c:barChart>
        <c:barDir val="col"/>
        <c:grouping val="clustered"/>
        <c:varyColors val="0"/>
        <c:ser>
          <c:idx val="0"/>
          <c:order val="0"/>
          <c:tx>
            <c:strRef>
              <c:f>Charts!$B$3</c:f>
              <c:strCache>
                <c:ptCount val="1"/>
                <c:pt idx="0">
                  <c:v> Total Sales USD</c:v>
                </c:pt>
              </c:strCache>
            </c:strRef>
          </c:tx>
          <c:spPr>
            <a:solidFill>
              <a:srgbClr val="2A4640"/>
            </a:solidFill>
            <a:ln>
              <a:noFill/>
            </a:ln>
            <a:effectLst/>
          </c:spPr>
          <c:invertIfNegative val="0"/>
          <c:dLbls>
            <c:spPr>
              <a:solidFill>
                <a:srgbClr val="2A4640"/>
              </a:solidFill>
              <a:ln>
                <a:noFill/>
              </a:ln>
              <a:effectLst/>
            </c:spPr>
            <c:txPr>
              <a:bodyPr rot="0" spcFirstLastPara="1" vertOverflow="ellipsis" vert="horz" wrap="square" anchor="ctr" anchorCtr="1"/>
              <a:lstStyle/>
              <a:p>
                <a:pPr>
                  <a:defRPr sz="900" b="1" i="0" u="none" strike="noStrike" kern="1200" baseline="0">
                    <a:solidFill>
                      <a:srgbClr val="F3F4F9"/>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Charts!$A$4:$A$7</c:f>
              <c:strCache>
                <c:ptCount val="3"/>
                <c:pt idx="0">
                  <c:v>Tier A (High Profit)</c:v>
                </c:pt>
                <c:pt idx="1">
                  <c:v>Tier C (Low Profit)</c:v>
                </c:pt>
                <c:pt idx="2">
                  <c:v>Tier B (Medium Profit)</c:v>
                </c:pt>
              </c:strCache>
            </c:strRef>
          </c:cat>
          <c:val>
            <c:numRef>
              <c:f>Charts!$B$4:$B$7</c:f>
              <c:numCache>
                <c:formatCode>_("$"* #,##0_);_("$"* \(#,##0\);_("$"* "-"??_);_(@_)</c:formatCode>
                <c:ptCount val="3"/>
                <c:pt idx="0">
                  <c:v>125543180.88347246</c:v>
                </c:pt>
                <c:pt idx="1">
                  <c:v>111804056.62279494</c:v>
                </c:pt>
                <c:pt idx="2">
                  <c:v>46115567.023412883</c:v>
                </c:pt>
              </c:numCache>
            </c:numRef>
          </c:val>
          <c:extLst>
            <c:ext xmlns:c16="http://schemas.microsoft.com/office/drawing/2014/chart" uri="{C3380CC4-5D6E-409C-BE32-E72D297353CC}">
              <c16:uniqueId val="{00000000-6FAA-4F54-87C4-DE95E8735E3A}"/>
            </c:ext>
          </c:extLst>
        </c:ser>
        <c:dLbls>
          <c:showLegendKey val="0"/>
          <c:showVal val="1"/>
          <c:showCatName val="0"/>
          <c:showSerName val="0"/>
          <c:showPercent val="0"/>
          <c:showBubbleSize val="0"/>
        </c:dLbls>
        <c:gapWidth val="219"/>
        <c:overlap val="-27"/>
        <c:axId val="1277511904"/>
        <c:axId val="578076496"/>
      </c:barChart>
      <c:lineChart>
        <c:grouping val="standard"/>
        <c:varyColors val="0"/>
        <c:ser>
          <c:idx val="1"/>
          <c:order val="1"/>
          <c:tx>
            <c:strRef>
              <c:f>Charts!$C$3</c:f>
              <c:strCache>
                <c:ptCount val="1"/>
                <c:pt idx="0">
                  <c:v> Total Profit</c:v>
                </c:pt>
              </c:strCache>
            </c:strRef>
          </c:tx>
          <c:spPr>
            <a:ln w="28575" cap="rnd">
              <a:solidFill>
                <a:srgbClr val="FDC445"/>
              </a:solidFill>
              <a:round/>
            </a:ln>
            <a:effectLst/>
          </c:spPr>
          <c:marker>
            <c:symbol val="circle"/>
            <c:size val="5"/>
            <c:spPr>
              <a:solidFill>
                <a:schemeClr val="accent2"/>
              </a:solidFill>
              <a:ln w="9525">
                <a:solidFill>
                  <a:schemeClr val="accent2"/>
                </a:solidFill>
              </a:ln>
              <a:effectLst/>
            </c:spPr>
          </c:marker>
          <c:dLbls>
            <c:spPr>
              <a:solidFill>
                <a:srgbClr val="FDC445"/>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Charts!$A$4:$A$7</c:f>
              <c:strCache>
                <c:ptCount val="3"/>
                <c:pt idx="0">
                  <c:v>Tier A (High Profit)</c:v>
                </c:pt>
                <c:pt idx="1">
                  <c:v>Tier C (Low Profit)</c:v>
                </c:pt>
                <c:pt idx="2">
                  <c:v>Tier B (Medium Profit)</c:v>
                </c:pt>
              </c:strCache>
            </c:strRef>
          </c:cat>
          <c:val>
            <c:numRef>
              <c:f>Charts!$C$4:$C$7</c:f>
              <c:numCache>
                <c:formatCode>_("$"* #,##0_);_("$"* \(#,##0\);_("$"* "-"??_);_(@_)</c:formatCode>
                <c:ptCount val="3"/>
                <c:pt idx="0">
                  <c:v>73946398.953472316</c:v>
                </c:pt>
                <c:pt idx="1">
                  <c:v>60805311.982794814</c:v>
                </c:pt>
                <c:pt idx="2">
                  <c:v>26338272.023413062</c:v>
                </c:pt>
              </c:numCache>
            </c:numRef>
          </c:val>
          <c:smooth val="0"/>
          <c:extLst>
            <c:ext xmlns:c16="http://schemas.microsoft.com/office/drawing/2014/chart" uri="{C3380CC4-5D6E-409C-BE32-E72D297353CC}">
              <c16:uniqueId val="{00000001-6FAA-4F54-87C4-DE95E8735E3A}"/>
            </c:ext>
          </c:extLst>
        </c:ser>
        <c:dLbls>
          <c:showLegendKey val="0"/>
          <c:showVal val="1"/>
          <c:showCatName val="0"/>
          <c:showSerName val="0"/>
          <c:showPercent val="0"/>
          <c:showBubbleSize val="0"/>
        </c:dLbls>
        <c:marker val="1"/>
        <c:smooth val="0"/>
        <c:axId val="1277511904"/>
        <c:axId val="578076496"/>
      </c:lineChart>
      <c:catAx>
        <c:axId val="1277511904"/>
        <c:scaling>
          <c:orientation val="minMax"/>
        </c:scaling>
        <c:delete val="1"/>
        <c:axPos val="b"/>
        <c:numFmt formatCode="General" sourceLinked="1"/>
        <c:majorTickMark val="out"/>
        <c:minorTickMark val="none"/>
        <c:tickLblPos val="nextTo"/>
        <c:crossAx val="578076496"/>
        <c:crosses val="autoZero"/>
        <c:auto val="1"/>
        <c:lblAlgn val="ctr"/>
        <c:lblOffset val="100"/>
        <c:noMultiLvlLbl val="0"/>
      </c:catAx>
      <c:valAx>
        <c:axId val="578076496"/>
        <c:scaling>
          <c:orientation val="minMax"/>
        </c:scaling>
        <c:delete val="1"/>
        <c:axPos val="l"/>
        <c:numFmt formatCode="_(&quot;$&quot;* #,##0_);_(&quot;$&quot;* \(#,##0\);_(&quot;$&quot;* &quot;-&quot;??_);_(@_)" sourceLinked="1"/>
        <c:majorTickMark val="out"/>
        <c:minorTickMark val="none"/>
        <c:tickLblPos val="nextTo"/>
        <c:crossAx val="1277511904"/>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DC445"/>
      </a:solidFill>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project.xlsx]Charts!PivotTable6</c:name>
    <c:fmtId val="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sz="1600" b="1" i="0" u="sng" strike="noStrike" kern="1200" baseline="0">
                <a:solidFill>
                  <a:sysClr val="windowText" lastClr="000000"/>
                </a:solidFill>
              </a:rPr>
              <a:t>YOY Profit Growth By country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ar-EG"/>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2A4640"/>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rgbClr val="2A4640"/>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rgbClr val="2A4640"/>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Charts!$B$22:$B$23</c:f>
              <c:strCache>
                <c:ptCount val="1"/>
                <c:pt idx="0">
                  <c:v>2023</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Charts!$A$24:$A$31</c:f>
              <c:strCache>
                <c:ptCount val="7"/>
                <c:pt idx="0">
                  <c:v>China</c:v>
                </c:pt>
                <c:pt idx="1">
                  <c:v>France</c:v>
                </c:pt>
                <c:pt idx="2">
                  <c:v>Germany</c:v>
                </c:pt>
                <c:pt idx="3">
                  <c:v>Portugal</c:v>
                </c:pt>
                <c:pt idx="4">
                  <c:v>Spain</c:v>
                </c:pt>
                <c:pt idx="5">
                  <c:v>United Kingdom</c:v>
                </c:pt>
                <c:pt idx="6">
                  <c:v>United States</c:v>
                </c:pt>
              </c:strCache>
            </c:strRef>
          </c:cat>
          <c:val>
            <c:numRef>
              <c:f>Charts!$B$24:$B$31</c:f>
              <c:numCache>
                <c:formatCode>0.00%</c:formatCode>
                <c:ptCount val="7"/>
              </c:numCache>
            </c:numRef>
          </c:val>
          <c:smooth val="0"/>
          <c:extLst>
            <c:ext xmlns:c16="http://schemas.microsoft.com/office/drawing/2014/chart" uri="{C3380CC4-5D6E-409C-BE32-E72D297353CC}">
              <c16:uniqueId val="{00000000-4BAB-4F30-ACF4-A022D9709710}"/>
            </c:ext>
          </c:extLst>
        </c:ser>
        <c:ser>
          <c:idx val="1"/>
          <c:order val="1"/>
          <c:tx>
            <c:strRef>
              <c:f>Charts!$C$22:$C$23</c:f>
              <c:strCache>
                <c:ptCount val="1"/>
                <c:pt idx="0">
                  <c:v>2024</c:v>
                </c:pt>
              </c:strCache>
            </c:strRef>
          </c:tx>
          <c:spPr>
            <a:ln w="34925" cap="rnd">
              <a:solidFill>
                <a:srgbClr val="2A4640"/>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Charts!$A$24:$A$31</c:f>
              <c:strCache>
                <c:ptCount val="7"/>
                <c:pt idx="0">
                  <c:v>China</c:v>
                </c:pt>
                <c:pt idx="1">
                  <c:v>France</c:v>
                </c:pt>
                <c:pt idx="2">
                  <c:v>Germany</c:v>
                </c:pt>
                <c:pt idx="3">
                  <c:v>Portugal</c:v>
                </c:pt>
                <c:pt idx="4">
                  <c:v>Spain</c:v>
                </c:pt>
                <c:pt idx="5">
                  <c:v>United Kingdom</c:v>
                </c:pt>
                <c:pt idx="6">
                  <c:v>United States</c:v>
                </c:pt>
              </c:strCache>
            </c:strRef>
          </c:cat>
          <c:val>
            <c:numRef>
              <c:f>Charts!$C$24:$C$31</c:f>
              <c:numCache>
                <c:formatCode>0.00%</c:formatCode>
                <c:ptCount val="7"/>
                <c:pt idx="0">
                  <c:v>0.36323175499869892</c:v>
                </c:pt>
                <c:pt idx="1">
                  <c:v>7.6372037675846521E-2</c:v>
                </c:pt>
                <c:pt idx="2">
                  <c:v>0.13650957607757125</c:v>
                </c:pt>
                <c:pt idx="3">
                  <c:v>-0.10463052545090125</c:v>
                </c:pt>
                <c:pt idx="4">
                  <c:v>0.23179258589668986</c:v>
                </c:pt>
                <c:pt idx="5">
                  <c:v>-3.5937013687274963E-2</c:v>
                </c:pt>
                <c:pt idx="6">
                  <c:v>9.9204034406727912E-2</c:v>
                </c:pt>
              </c:numCache>
            </c:numRef>
          </c:val>
          <c:smooth val="0"/>
          <c:extLst>
            <c:ext xmlns:c16="http://schemas.microsoft.com/office/drawing/2014/chart" uri="{C3380CC4-5D6E-409C-BE32-E72D297353CC}">
              <c16:uniqueId val="{00000001-4BAB-4F30-ACF4-A022D9709710}"/>
            </c:ext>
          </c:extLst>
        </c:ser>
        <c:dLbls>
          <c:showLegendKey val="0"/>
          <c:showVal val="0"/>
          <c:showCatName val="0"/>
          <c:showSerName val="0"/>
          <c:showPercent val="0"/>
          <c:showBubbleSize val="0"/>
        </c:dLbls>
        <c:marker val="1"/>
        <c:smooth val="0"/>
        <c:axId val="1293628720"/>
        <c:axId val="578040016"/>
      </c:lineChart>
      <c:catAx>
        <c:axId val="1293628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578040016"/>
        <c:crosses val="autoZero"/>
        <c:auto val="1"/>
        <c:lblAlgn val="ctr"/>
        <c:lblOffset val="100"/>
        <c:noMultiLvlLbl val="0"/>
      </c:catAx>
      <c:valAx>
        <c:axId val="5780400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12936287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ar-E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DC445"/>
      </a:solidFill>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project.xlsx]Charts!PivotTable8</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r>
              <a:rPr lang="en-US" sz="1400" b="1" i="0" u="sng" strike="noStrike" kern="1200" spc="0" baseline="0">
                <a:solidFill>
                  <a:sysClr val="windowText" lastClr="000000"/>
                </a:solidFill>
              </a:rPr>
              <a:t> Country Market Share Distribution by Total Profit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solidFill>
              <a:latin typeface="+mn-lt"/>
              <a:ea typeface="+mn-ea"/>
              <a:cs typeface="+mn-cs"/>
            </a:defRPr>
          </a:pPr>
          <a:endParaRPr lang="ar-EG"/>
        </a:p>
      </c:txPr>
    </c:title>
    <c:autoTitleDeleted val="0"/>
    <c:pivotFmts>
      <c:pivotFmt>
        <c:idx val="0"/>
        <c:spPr>
          <a:solidFill>
            <a:srgbClr val="2A46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DC445"/>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2A46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DC445"/>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A464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FDC445"/>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9875833003795"/>
          <c:y val="0.1749369988545246"/>
          <c:w val="0.76788877991275706"/>
          <c:h val="0.722069792822289"/>
        </c:manualLayout>
      </c:layout>
      <c:barChart>
        <c:barDir val="bar"/>
        <c:grouping val="stacked"/>
        <c:varyColors val="0"/>
        <c:ser>
          <c:idx val="0"/>
          <c:order val="0"/>
          <c:tx>
            <c:strRef>
              <c:f>Charts!$B$59</c:f>
              <c:strCache>
                <c:ptCount val="1"/>
                <c:pt idx="0">
                  <c:v>Total</c:v>
                </c:pt>
              </c:strCache>
            </c:strRef>
          </c:tx>
          <c:spPr>
            <a:solidFill>
              <a:srgbClr val="2A464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rgbClr val="FDC445"/>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Charts!$A$60:$A$67</c:f>
              <c:strCache>
                <c:ptCount val="7"/>
                <c:pt idx="0">
                  <c:v>United Kingdom</c:v>
                </c:pt>
                <c:pt idx="1">
                  <c:v>Spain</c:v>
                </c:pt>
                <c:pt idx="2">
                  <c:v>Portugal</c:v>
                </c:pt>
                <c:pt idx="3">
                  <c:v>France</c:v>
                </c:pt>
                <c:pt idx="4">
                  <c:v>Germany</c:v>
                </c:pt>
                <c:pt idx="5">
                  <c:v>United States</c:v>
                </c:pt>
                <c:pt idx="6">
                  <c:v>China</c:v>
                </c:pt>
              </c:strCache>
            </c:strRef>
          </c:cat>
          <c:val>
            <c:numRef>
              <c:f>Charts!$B$60:$B$67</c:f>
              <c:numCache>
                <c:formatCode>_("$"* #,##0_);_("$"* \(#,##0\);_("$"* "-"??_);_(@_)</c:formatCode>
                <c:ptCount val="7"/>
                <c:pt idx="0">
                  <c:v>10678124.994999994</c:v>
                </c:pt>
                <c:pt idx="1">
                  <c:v>14174490.74808499</c:v>
                </c:pt>
                <c:pt idx="2">
                  <c:v>14369030.153546033</c:v>
                </c:pt>
                <c:pt idx="3">
                  <c:v>15933483.230046922</c:v>
                </c:pt>
                <c:pt idx="4">
                  <c:v>18330258.651498955</c:v>
                </c:pt>
                <c:pt idx="5">
                  <c:v>42741231.410000466</c:v>
                </c:pt>
                <c:pt idx="6">
                  <c:v>44863363.77150283</c:v>
                </c:pt>
              </c:numCache>
            </c:numRef>
          </c:val>
          <c:extLst>
            <c:ext xmlns:c16="http://schemas.microsoft.com/office/drawing/2014/chart" uri="{C3380CC4-5D6E-409C-BE32-E72D297353CC}">
              <c16:uniqueId val="{00000000-3BA1-441A-BCFD-AF186BE46134}"/>
            </c:ext>
          </c:extLst>
        </c:ser>
        <c:dLbls>
          <c:showLegendKey val="0"/>
          <c:showVal val="0"/>
          <c:showCatName val="0"/>
          <c:showSerName val="0"/>
          <c:showPercent val="0"/>
          <c:showBubbleSize val="0"/>
        </c:dLbls>
        <c:gapWidth val="150"/>
        <c:overlap val="100"/>
        <c:axId val="1293599488"/>
        <c:axId val="578093296"/>
      </c:barChart>
      <c:catAx>
        <c:axId val="129359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578093296"/>
        <c:crosses val="autoZero"/>
        <c:auto val="1"/>
        <c:lblAlgn val="ctr"/>
        <c:lblOffset val="100"/>
        <c:noMultiLvlLbl val="0"/>
      </c:catAx>
      <c:valAx>
        <c:axId val="578093296"/>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ar-EG"/>
          </a:p>
        </c:txPr>
        <c:crossAx val="129359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DC445"/>
      </a:solidFill>
      <a:round/>
    </a:ln>
    <a:effectLst/>
  </c:spPr>
  <c:txPr>
    <a:bodyPr/>
    <a:lstStyle/>
    <a:p>
      <a:pPr>
        <a:defRPr>
          <a:solidFill>
            <a:schemeClr val="dk1"/>
          </a:solidFill>
          <a:latin typeface="+mn-lt"/>
          <a:ea typeface="+mn-ea"/>
          <a:cs typeface="+mn-cs"/>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emf"/><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300037</xdr:colOff>
      <xdr:row>0</xdr:row>
      <xdr:rowOff>133349</xdr:rowOff>
    </xdr:from>
    <xdr:to>
      <xdr:col>10</xdr:col>
      <xdr:colOff>409575</xdr:colOff>
      <xdr:row>16</xdr:row>
      <xdr:rowOff>9524</xdr:rowOff>
    </xdr:to>
    <xdr:graphicFrame macro="">
      <xdr:nvGraphicFramePr>
        <xdr:cNvPr id="2" name="Chart 1">
          <a:extLst>
            <a:ext uri="{FF2B5EF4-FFF2-40B4-BE49-F238E27FC236}">
              <a16:creationId xmlns:a16="http://schemas.microsoft.com/office/drawing/2014/main" id="{F80179F5-CC5A-1961-4CAC-1ACDD11955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557211</xdr:colOff>
      <xdr:row>17</xdr:row>
      <xdr:rowOff>161925</xdr:rowOff>
    </xdr:from>
    <xdr:to>
      <xdr:col>15</xdr:col>
      <xdr:colOff>9524</xdr:colOff>
      <xdr:row>33</xdr:row>
      <xdr:rowOff>9525</xdr:rowOff>
    </xdr:to>
    <xdr:graphicFrame macro="">
      <xdr:nvGraphicFramePr>
        <xdr:cNvPr id="3" name="Chart 2">
          <a:extLst>
            <a:ext uri="{FF2B5EF4-FFF2-40B4-BE49-F238E27FC236}">
              <a16:creationId xmlns:a16="http://schemas.microsoft.com/office/drawing/2014/main" id="{7F72D993-AD04-872A-9021-6C67294CE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404812</xdr:colOff>
      <xdr:row>36</xdr:row>
      <xdr:rowOff>138112</xdr:rowOff>
    </xdr:from>
    <xdr:to>
      <xdr:col>10</xdr:col>
      <xdr:colOff>538162</xdr:colOff>
      <xdr:row>51</xdr:row>
      <xdr:rowOff>166687</xdr:rowOff>
    </xdr:to>
    <xdr:graphicFrame macro="">
      <xdr:nvGraphicFramePr>
        <xdr:cNvPr id="4" name="Chart 3">
          <a:extLst>
            <a:ext uri="{FF2B5EF4-FFF2-40B4-BE49-F238E27FC236}">
              <a16:creationId xmlns:a16="http://schemas.microsoft.com/office/drawing/2014/main" id="{EF25D647-8166-476C-1C57-F262B2617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223837</xdr:colOff>
      <xdr:row>54</xdr:row>
      <xdr:rowOff>157162</xdr:rowOff>
    </xdr:from>
    <xdr:to>
      <xdr:col>9</xdr:col>
      <xdr:colOff>176212</xdr:colOff>
      <xdr:row>70</xdr:row>
      <xdr:rowOff>4762</xdr:rowOff>
    </xdr:to>
    <xdr:graphicFrame macro="">
      <xdr:nvGraphicFramePr>
        <xdr:cNvPr id="5" name="Chart 4">
          <a:extLst>
            <a:ext uri="{FF2B5EF4-FFF2-40B4-BE49-F238E27FC236}">
              <a16:creationId xmlns:a16="http://schemas.microsoft.com/office/drawing/2014/main" id="{9E47C142-D190-9391-0B02-418E09E61C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161925</xdr:colOff>
      <xdr:row>2</xdr:row>
      <xdr:rowOff>57150</xdr:rowOff>
    </xdr:from>
    <xdr:to>
      <xdr:col>13</xdr:col>
      <xdr:colOff>619125</xdr:colOff>
      <xdr:row>16</xdr:row>
      <xdr:rowOff>47625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28195FE6-9BB7-F41D-6A78-8D2D6C59C32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553825" y="419100"/>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180975</xdr:colOff>
      <xdr:row>1</xdr:row>
      <xdr:rowOff>66675</xdr:rowOff>
    </xdr:from>
    <xdr:to>
      <xdr:col>16</xdr:col>
      <xdr:colOff>638175</xdr:colOff>
      <xdr:row>15</xdr:row>
      <xdr:rowOff>57150</xdr:rowOff>
    </xdr:to>
    <mc:AlternateContent xmlns:mc="http://schemas.openxmlformats.org/markup-compatibility/2006" xmlns:a14="http://schemas.microsoft.com/office/drawing/2010/main">
      <mc:Choice Requires="a14">
        <xdr:graphicFrame macro="">
          <xdr:nvGraphicFramePr>
            <xdr:cNvPr id="7" name="Store_Tier">
              <a:extLst>
                <a:ext uri="{FF2B5EF4-FFF2-40B4-BE49-F238E27FC236}">
                  <a16:creationId xmlns:a16="http://schemas.microsoft.com/office/drawing/2014/main" id="{74FDAEF3-975F-A69D-4903-47668CC51722}"/>
                </a:ext>
              </a:extLst>
            </xdr:cNvPr>
            <xdr:cNvGraphicFramePr/>
          </xdr:nvGraphicFramePr>
          <xdr:xfrm>
            <a:off x="0" y="0"/>
            <a:ext cx="0" cy="0"/>
          </xdr:xfrm>
          <a:graphic>
            <a:graphicData uri="http://schemas.microsoft.com/office/drawing/2010/slicer">
              <sle:slicer xmlns:sle="http://schemas.microsoft.com/office/drawing/2010/slicer" name="Store_Tier"/>
            </a:graphicData>
          </a:graphic>
        </xdr:graphicFrame>
      </mc:Choice>
      <mc:Fallback xmlns="">
        <xdr:sp macro="" textlink="">
          <xdr:nvSpPr>
            <xdr:cNvPr id="0" name=""/>
            <xdr:cNvSpPr>
              <a:spLocks noTextEdit="1"/>
            </xdr:cNvSpPr>
          </xdr:nvSpPr>
          <xdr:spPr>
            <a:xfrm>
              <a:off x="13630275" y="247650"/>
              <a:ext cx="1828800" cy="252412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3</xdr:row>
          <xdr:rowOff>114300</xdr:rowOff>
        </xdr:from>
        <xdr:to>
          <xdr:col>25</xdr:col>
          <xdr:colOff>0</xdr:colOff>
          <xdr:row>7</xdr:row>
          <xdr:rowOff>173355</xdr:rowOff>
        </xdr:to>
        <xdr:pic>
          <xdr:nvPicPr>
            <xdr:cNvPr id="2" name="Picture 1">
              <a:extLst>
                <a:ext uri="{FF2B5EF4-FFF2-40B4-BE49-F238E27FC236}">
                  <a16:creationId xmlns:a16="http://schemas.microsoft.com/office/drawing/2014/main" id="{B94D3B05-8BB5-599B-91A7-A9718ECBE2E4}"/>
                </a:ext>
              </a:extLst>
            </xdr:cNvPr>
            <xdr:cNvPicPr>
              <a:picLocks noChangeAspect="1" noChangeArrowheads="1"/>
              <a:extLst>
                <a:ext uri="{84589F7E-364E-4C9E-8A38-B11213B215E9}">
                  <a14:cameraTool cellRange="Charts!$A$76:$D$77" spid="_x0000_s9225"/>
                </a:ext>
              </a:extLst>
            </xdr:cNvPicPr>
          </xdr:nvPicPr>
          <xdr:blipFill>
            <a:blip xmlns:r="http://schemas.openxmlformats.org/officeDocument/2006/relationships" r:embed="rId1"/>
            <a:srcRect/>
            <a:stretch>
              <a:fillRect/>
            </a:stretch>
          </xdr:blipFill>
          <xdr:spPr bwMode="auto">
            <a:xfrm>
              <a:off x="0" y="657225"/>
              <a:ext cx="17145000" cy="78295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twoCellAnchor editAs="oneCell">
    <xdr:from>
      <xdr:col>15</xdr:col>
      <xdr:colOff>238125</xdr:colOff>
      <xdr:row>0</xdr:row>
      <xdr:rowOff>38101</xdr:rowOff>
    </xdr:from>
    <xdr:to>
      <xdr:col>18</xdr:col>
      <xdr:colOff>123824</xdr:colOff>
      <xdr:row>3</xdr:row>
      <xdr:rowOff>14485</xdr:rowOff>
    </xdr:to>
    <xdr:pic>
      <xdr:nvPicPr>
        <xdr:cNvPr id="4" name="Picture 3">
          <a:extLst>
            <a:ext uri="{FF2B5EF4-FFF2-40B4-BE49-F238E27FC236}">
              <a16:creationId xmlns:a16="http://schemas.microsoft.com/office/drawing/2014/main" id="{0738770B-7FDA-34BB-0199-4D8610CEF22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25125" y="38101"/>
          <a:ext cx="1943099" cy="519309"/>
        </a:xfrm>
        <a:prstGeom prst="rect">
          <a:avLst/>
        </a:prstGeom>
      </xdr:spPr>
    </xdr:pic>
    <xdr:clientData/>
  </xdr:twoCellAnchor>
  <xdr:twoCellAnchor>
    <xdr:from>
      <xdr:col>0</xdr:col>
      <xdr:colOff>76200</xdr:colOff>
      <xdr:row>8</xdr:row>
      <xdr:rowOff>104776</xdr:rowOff>
    </xdr:from>
    <xdr:to>
      <xdr:col>6</xdr:col>
      <xdr:colOff>152400</xdr:colOff>
      <xdr:row>41</xdr:row>
      <xdr:rowOff>57151</xdr:rowOff>
    </xdr:to>
    <xdr:graphicFrame macro="">
      <xdr:nvGraphicFramePr>
        <xdr:cNvPr id="5" name="Chart 4">
          <a:extLst>
            <a:ext uri="{FF2B5EF4-FFF2-40B4-BE49-F238E27FC236}">
              <a16:creationId xmlns:a16="http://schemas.microsoft.com/office/drawing/2014/main" id="{E3DD306B-B1F1-436D-8D12-D1EB1F2E1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257175</xdr:colOff>
      <xdr:row>8</xdr:row>
      <xdr:rowOff>114300</xdr:rowOff>
    </xdr:from>
    <xdr:to>
      <xdr:col>16</xdr:col>
      <xdr:colOff>200025</xdr:colOff>
      <xdr:row>23</xdr:row>
      <xdr:rowOff>171450</xdr:rowOff>
    </xdr:to>
    <xdr:graphicFrame macro="">
      <xdr:nvGraphicFramePr>
        <xdr:cNvPr id="6" name="Chart 5">
          <a:extLst>
            <a:ext uri="{FF2B5EF4-FFF2-40B4-BE49-F238E27FC236}">
              <a16:creationId xmlns:a16="http://schemas.microsoft.com/office/drawing/2014/main" id="{81D90757-0D5C-423F-9C15-EE43F7D337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238125</xdr:colOff>
      <xdr:row>24</xdr:row>
      <xdr:rowOff>85725</xdr:rowOff>
    </xdr:from>
    <xdr:to>
      <xdr:col>21</xdr:col>
      <xdr:colOff>352425</xdr:colOff>
      <xdr:row>41</xdr:row>
      <xdr:rowOff>57150</xdr:rowOff>
    </xdr:to>
    <xdr:graphicFrame macro="">
      <xdr:nvGraphicFramePr>
        <xdr:cNvPr id="7" name="Chart 6">
          <a:extLst>
            <a:ext uri="{FF2B5EF4-FFF2-40B4-BE49-F238E27FC236}">
              <a16:creationId xmlns:a16="http://schemas.microsoft.com/office/drawing/2014/main" id="{78B2069E-175A-4265-84EF-086FC5CEA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295276</xdr:colOff>
      <xdr:row>8</xdr:row>
      <xdr:rowOff>114300</xdr:rowOff>
    </xdr:from>
    <xdr:to>
      <xdr:col>25</xdr:col>
      <xdr:colOff>0</xdr:colOff>
      <xdr:row>23</xdr:row>
      <xdr:rowOff>161925</xdr:rowOff>
    </xdr:to>
    <xdr:graphicFrame macro="">
      <xdr:nvGraphicFramePr>
        <xdr:cNvPr id="8" name="Chart 7">
          <a:extLst>
            <a:ext uri="{FF2B5EF4-FFF2-40B4-BE49-F238E27FC236}">
              <a16:creationId xmlns:a16="http://schemas.microsoft.com/office/drawing/2014/main" id="{6933FA5B-2C80-47AA-852A-78A2E8C06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428625</xdr:colOff>
      <xdr:row>24</xdr:row>
      <xdr:rowOff>85725</xdr:rowOff>
    </xdr:from>
    <xdr:to>
      <xdr:col>25</xdr:col>
      <xdr:colOff>28575</xdr:colOff>
      <xdr:row>32</xdr:row>
      <xdr:rowOff>38100</xdr:rowOff>
    </xdr:to>
    <mc:AlternateContent xmlns:mc="http://schemas.openxmlformats.org/markup-compatibility/2006" xmlns:a14="http://schemas.microsoft.com/office/drawing/2010/main">
      <mc:Choice Requires="a14">
        <xdr:graphicFrame macro="">
          <xdr:nvGraphicFramePr>
            <xdr:cNvPr id="9" name="Year 1">
              <a:extLst>
                <a:ext uri="{FF2B5EF4-FFF2-40B4-BE49-F238E27FC236}">
                  <a16:creationId xmlns:a16="http://schemas.microsoft.com/office/drawing/2014/main" id="{73CA8C2C-0934-4D0F-AE8C-2331B9E867B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830425" y="4429125"/>
              <a:ext cx="2343150" cy="140017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457199</xdr:colOff>
      <xdr:row>32</xdr:row>
      <xdr:rowOff>95251</xdr:rowOff>
    </xdr:from>
    <xdr:to>
      <xdr:col>25</xdr:col>
      <xdr:colOff>9525</xdr:colOff>
      <xdr:row>41</xdr:row>
      <xdr:rowOff>66676</xdr:rowOff>
    </xdr:to>
    <mc:AlternateContent xmlns:mc="http://schemas.openxmlformats.org/markup-compatibility/2006" xmlns:a14="http://schemas.microsoft.com/office/drawing/2010/main">
      <mc:Choice Requires="a14">
        <xdr:graphicFrame macro="">
          <xdr:nvGraphicFramePr>
            <xdr:cNvPr id="10" name="Store_Tier 1">
              <a:extLst>
                <a:ext uri="{FF2B5EF4-FFF2-40B4-BE49-F238E27FC236}">
                  <a16:creationId xmlns:a16="http://schemas.microsoft.com/office/drawing/2014/main" id="{B6C92FF7-A545-4704-907B-4E25DB9F589E}"/>
                </a:ext>
              </a:extLst>
            </xdr:cNvPr>
            <xdr:cNvGraphicFramePr/>
          </xdr:nvGraphicFramePr>
          <xdr:xfrm>
            <a:off x="0" y="0"/>
            <a:ext cx="0" cy="0"/>
          </xdr:xfrm>
          <a:graphic>
            <a:graphicData uri="http://schemas.microsoft.com/office/drawing/2010/slicer">
              <sle:slicer xmlns:sle="http://schemas.microsoft.com/office/drawing/2010/slicer" name="Store_Tier 1"/>
            </a:graphicData>
          </a:graphic>
        </xdr:graphicFrame>
      </mc:Choice>
      <mc:Fallback xmlns="">
        <xdr:sp macro="" textlink="">
          <xdr:nvSpPr>
            <xdr:cNvPr id="0" name=""/>
            <xdr:cNvSpPr>
              <a:spLocks noTextEdit="1"/>
            </xdr:cNvSpPr>
          </xdr:nvSpPr>
          <xdr:spPr>
            <a:xfrm>
              <a:off x="14858999" y="5886451"/>
              <a:ext cx="2295526" cy="16002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osama Khattab" refreshedDate="46218.280686458333" createdVersion="8" refreshedVersion="8" minRefreshableVersion="3" recordCount="105" xr:uid="{1D64A030-1B1C-4F92-AFD5-9D56C29E9B13}">
  <cacheSource type="worksheet">
    <worksheetSource name="Table1"/>
  </cacheSource>
  <cacheFields count="10">
    <cacheField name="Store ID" numFmtId="0">
      <sharedItems containsSemiMixedTypes="0" containsString="0" containsNumber="1" containsInteger="1" minValue="1" maxValue="35"/>
    </cacheField>
    <cacheField name="Store Name" numFmtId="0">
      <sharedItems/>
    </cacheField>
    <cacheField name="Country" numFmtId="0">
      <sharedItems count="7">
        <s v="United States"/>
        <s v="China"/>
        <s v="Germany"/>
        <s v="United Kingdom"/>
        <s v="France"/>
        <s v="Spain"/>
        <s v="Portugal"/>
      </sharedItems>
    </cacheField>
    <cacheField name="City" numFmtId="0">
      <sharedItems/>
    </cacheField>
    <cacheField name="Year" numFmtId="0">
      <sharedItems containsSemiMixedTypes="0" containsString="0" containsNumber="1" containsInteger="1" minValue="2023" maxValue="2025" count="3">
        <n v="2023"/>
        <n v="2024"/>
        <n v="2025"/>
      </sharedItems>
    </cacheField>
    <cacheField name="Store_Tier" numFmtId="0">
      <sharedItems count="3">
        <s v="Tier A (High Profit)"/>
        <s v="Tier C (Low Profit)"/>
        <s v="Tier B (Medium Profit)"/>
      </sharedItems>
    </cacheField>
    <cacheField name=" Quantity" numFmtId="165">
      <sharedItems containsSemiMixedTypes="0" containsString="0" containsNumber="1" containsInteger="1" minValue="4504" maxValue="238483"/>
    </cacheField>
    <cacheField name="Total Sales USD" numFmtId="164">
      <sharedItems containsSemiMixedTypes="0" containsString="0" containsNumber="1" minValue="129421.474" maxValue="9526810.5700001791"/>
    </cacheField>
    <cacheField name="Total Profit" numFmtId="164">
      <sharedItems containsSemiMixedTypes="0" containsString="0" containsNumber="1" minValue="43896.8840000001" maxValue="5738789.05932598"/>
    </cacheField>
    <cacheField name="Return_Rate_Percentage" numFmtId="10">
      <sharedItems containsSemiMixedTypes="0" containsString="0" containsNumber="1" minValue="4.2729522799140301E-2" maxValue="6.9614754732624906E-2"/>
    </cacheField>
  </cacheFields>
  <extLst>
    <ext xmlns:x14="http://schemas.microsoft.com/office/spreadsheetml/2009/9/main" uri="{725AE2AE-9491-48be-B2B4-4EB974FC3084}">
      <x14:pivotCacheDefinition pivotCacheId="10033882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osama Khattab" refreshedDate="46218.284841782406" createdVersion="8" refreshedVersion="8" minRefreshableVersion="3" recordCount="26" xr:uid="{2A8A47F4-8E62-4C98-9AA3-92D7B2F89DD9}">
  <cacheSource type="worksheet">
    <worksheetSource name="Product"/>
  </cacheSource>
  <cacheFields count="8">
    <cacheField name="Category" numFmtId="0">
      <sharedItems count="3">
        <s v="Children"/>
        <s v="Feminine"/>
        <s v="Masculine"/>
      </sharedItems>
    </cacheField>
    <cacheField name="Sub Category" numFmtId="0">
      <sharedItems count="21">
        <s v="Accessories"/>
        <s v="Baby (0-12 months)"/>
        <s v="Coats"/>
        <s v="Girl and Boy (1-5 years, 6-14 years)"/>
        <s v="Pajamas"/>
        <s v="Sweaters"/>
        <s v="Coats and Blazers"/>
        <s v="Dresses and Jumpsuits"/>
        <s v="Lingerie and Pajamas"/>
        <s v="Pants and Jeans"/>
        <s v="Shirts and Blouses"/>
        <s v="Skirts and Shorts"/>
        <s v="Sportswear"/>
        <s v="Suits and Sets"/>
        <s v="Sweaters and Knitwear"/>
        <s v="T-shirts and Tops"/>
        <s v="Shirts"/>
        <s v="Suits and Blazers"/>
        <s v="Sweaters and Sweatshirts"/>
        <s v="T-shirts and Polos"/>
        <s v="Underwear and Pajamas"/>
      </sharedItems>
    </cacheField>
    <cacheField name="Total Quantity" numFmtId="165">
      <sharedItems containsSemiMixedTypes="0" containsString="0" containsNumber="1" containsInteger="1" minValue="104939" maxValue="382069"/>
    </cacheField>
    <cacheField name="Total Sales USD" numFmtId="164">
      <sharedItems containsSemiMixedTypes="0" containsString="0" containsNumber="1" minValue="2025608.0890240059" maxValue="27117035.863165215"/>
    </cacheField>
    <cacheField name="Total Production Cost" numFmtId="164">
      <sharedItems containsSemiMixedTypes="0" containsString="0" containsNumber="1" minValue="774824.96000001265" maxValue="10457506.87000056"/>
    </cacheField>
    <cacheField name="Total Profit" numFmtId="164">
      <sharedItems containsSemiMixedTypes="0" containsString="0" containsNumber="1" minValue="1172986.749024001" maxValue="15714423.263165101"/>
    </cacheField>
    <cacheField name="Return_Rate_Percentage" numFmtId="10">
      <sharedItems containsSemiMixedTypes="0" containsString="0" containsNumber="1" minValue="5.4268190333059567E-2" maxValue="5.7024904269146547E-2"/>
    </cacheField>
    <cacheField name="Profit Margin %" numFmtId="0" formula="'Total Profit'/'Total Sales USD'"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osama Khattab" refreshedDate="46218.287773611111" createdVersion="8" refreshedVersion="8" minRefreshableVersion="3" recordCount="26" xr:uid="{98761E5C-8F37-480B-97AE-E507077EE037}">
  <cacheSource type="worksheet">
    <worksheetSource name="Product_DIS"/>
  </cacheSource>
  <cacheFields count="6">
    <cacheField name="Category" numFmtId="0">
      <sharedItems count="3">
        <s v="Children"/>
        <s v="Feminine"/>
        <s v="Masculine"/>
      </sharedItems>
    </cacheField>
    <cacheField name="Sub Category" numFmtId="0">
      <sharedItems count="21">
        <s v="Accessories"/>
        <s v="Baby (0-12 months)"/>
        <s v="Coats"/>
        <s v="Girl and Boy (1-5 years, 6-14 years)"/>
        <s v="Pajamas"/>
        <s v="Sweaters"/>
        <s v="Coats and Blazers"/>
        <s v="Dresses and Jumpsuits"/>
        <s v="Lingerie and Pajamas"/>
        <s v="Pants and Jeans"/>
        <s v="Shirts and Blouses"/>
        <s v="Skirts and Shorts"/>
        <s v="Sportswear"/>
        <s v="Suits and Sets"/>
        <s v="Sweaters and Knitwear"/>
        <s v="T-shirts and Tops"/>
        <s v="Shirts"/>
        <s v="Suits and Blazers"/>
        <s v="Sweaters and Sweatshirts"/>
        <s v="T-shirts and Polos"/>
        <s v="Underwear and Pajamas"/>
      </sharedItems>
    </cacheField>
    <cacheField name=" Total Sales Before DIS" numFmtId="164">
      <sharedItems containsSemiMixedTypes="0" containsString="0" containsNumber="1" minValue="2615062.8739200062" maxValue="33388890.21471002"/>
    </cacheField>
    <cacheField name="Total Sales USD" numFmtId="164">
      <sharedItems containsSemiMixedTypes="0" containsString="0" containsNumber="1" minValue="2025608.0890240062" maxValue="27117035.863165215"/>
    </cacheField>
    <cacheField name="Total Discount Amount" numFmtId="164">
      <sharedItems containsSemiMixedTypes="0" containsString="0" containsNumber="1" minValue="520253.89513500326" maxValue="6342380.2173970649"/>
    </cacheField>
    <cacheField name="AVG Discount%" numFmtId="9">
      <sharedItems containsSemiMixedTypes="0" containsString="0" containsNumber="1" minValue="0.31220514097219254" maxValue="0.503934398002669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moud osama Khattab" refreshedDate="46218.329775810183" createdVersion="8" refreshedVersion="8" minRefreshableVersion="3" recordCount="808" xr:uid="{88A21A3F-29C3-4820-8598-409F0A303954}">
  <cacheSource type="worksheet">
    <worksheetSource name="Forecasting"/>
  </cacheSource>
  <cacheFields count="5">
    <cacheField name="Year" numFmtId="0">
      <sharedItems containsSemiMixedTypes="0" containsString="0" containsNumber="1" containsInteger="1" minValue="2023" maxValue="2025" count="3">
        <n v="2023"/>
        <n v="2024"/>
        <n v="2025"/>
      </sharedItems>
    </cacheField>
    <cacheField name="Quarter" numFmtId="0">
      <sharedItems/>
    </cacheField>
    <cacheField name="Month" numFmtId="0">
      <sharedItems count="12">
        <s v="January"/>
        <s v="February"/>
        <s v="March"/>
        <s v="April"/>
        <s v="May"/>
        <s v="June"/>
        <s v="July"/>
        <s v="August"/>
        <s v="September"/>
        <s v="October"/>
        <s v="November"/>
        <s v="December"/>
      </sharedItems>
    </cacheField>
    <cacheField name="Day"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Total Sales USD" numFmtId="164">
      <sharedItems containsSemiMixedTypes="0" containsString="0" containsNumber="1" minValue="117925.44444099997" maxValue="1669952.057999999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n v="1"/>
    <s v="Store New York"/>
    <x v="0"/>
    <s v="New York"/>
    <x v="0"/>
    <x v="0"/>
    <n v="237290"/>
    <n v="9405392.7900002208"/>
    <n v="5251690.7100001602"/>
    <n v="5.6600125977389802E-2"/>
  </r>
  <r>
    <n v="1"/>
    <s v="Store New York"/>
    <x v="0"/>
    <s v="New York"/>
    <x v="1"/>
    <x v="0"/>
    <n v="226242"/>
    <n v="9415516.8900001999"/>
    <n v="5527448.6400000397"/>
    <n v="5.56274494152059E-2"/>
  </r>
  <r>
    <n v="1"/>
    <s v="Store New York"/>
    <x v="0"/>
    <s v="New York"/>
    <x v="2"/>
    <x v="1"/>
    <n v="62151"/>
    <n v="2400562.26000001"/>
    <n v="1299589.5600000301"/>
    <n v="5.48067537265041E-2"/>
  </r>
  <r>
    <n v="2"/>
    <s v="Store Los Angeles"/>
    <x v="0"/>
    <s v="Los Angeles"/>
    <x v="0"/>
    <x v="0"/>
    <n v="238483"/>
    <n v="9526810.5700001791"/>
    <n v="5339290.6400001198"/>
    <n v="5.6957000882206697E-2"/>
  </r>
  <r>
    <n v="2"/>
    <s v="Store Los Angeles"/>
    <x v="0"/>
    <s v="Los Angeles"/>
    <x v="1"/>
    <x v="0"/>
    <n v="220987"/>
    <n v="9082775.4400002994"/>
    <n v="5271251.1399999997"/>
    <n v="5.6137968286360099E-2"/>
  </r>
  <r>
    <n v="2"/>
    <s v="Store Los Angeles"/>
    <x v="0"/>
    <s v="Los Angeles"/>
    <x v="2"/>
    <x v="1"/>
    <n v="42271"/>
    <n v="1602547.67"/>
    <n v="855343.13999999501"/>
    <n v="5.6870589014908102E-2"/>
  </r>
  <r>
    <n v="3"/>
    <s v="Store Chicago"/>
    <x v="0"/>
    <s v="Chicago"/>
    <x v="0"/>
    <x v="2"/>
    <n v="96911"/>
    <n v="3814465.34999996"/>
    <n v="2117776.6299999799"/>
    <n v="5.7675101225129498E-2"/>
  </r>
  <r>
    <n v="3"/>
    <s v="Store Chicago"/>
    <x v="0"/>
    <s v="Chicago"/>
    <x v="1"/>
    <x v="0"/>
    <n v="145262"/>
    <n v="5979601.0899999803"/>
    <n v="3488127.68"/>
    <n v="5.5942177760384501E-2"/>
  </r>
  <r>
    <n v="3"/>
    <s v="Store Chicago"/>
    <x v="0"/>
    <s v="Chicago"/>
    <x v="2"/>
    <x v="1"/>
    <n v="20228"/>
    <n v="811761.69999999902"/>
    <n v="450312.71"/>
    <n v="5.24481503715973E-2"/>
  </r>
  <r>
    <n v="4"/>
    <s v="Store Houston"/>
    <x v="0"/>
    <s v="Houston"/>
    <x v="0"/>
    <x v="0"/>
    <n v="147431"/>
    <n v="5877211.9800000302"/>
    <n v="3293436.9500000998"/>
    <n v="5.5638975031787399E-2"/>
  </r>
  <r>
    <n v="4"/>
    <s v="Store Houston"/>
    <x v="0"/>
    <s v="Houston"/>
    <x v="1"/>
    <x v="0"/>
    <n v="167794"/>
    <n v="6989906.4600000996"/>
    <n v="4105850.75000004"/>
    <n v="5.5031811907790697E-2"/>
  </r>
  <r>
    <n v="4"/>
    <s v="Store Houston"/>
    <x v="0"/>
    <s v="Houston"/>
    <x v="2"/>
    <x v="1"/>
    <n v="27016"/>
    <n v="1051699.49999999"/>
    <n v="570401.67000000004"/>
    <n v="5.2625989228018297E-2"/>
  </r>
  <r>
    <n v="5"/>
    <s v="Store Phoenix"/>
    <x v="0"/>
    <s v="Phoenix"/>
    <x v="0"/>
    <x v="2"/>
    <n v="121268"/>
    <n v="4806274.59"/>
    <n v="2685305.0400000401"/>
    <n v="5.3892169963667198E-2"/>
  </r>
  <r>
    <n v="5"/>
    <s v="Store Phoenix"/>
    <x v="0"/>
    <s v="Phoenix"/>
    <x v="1"/>
    <x v="2"/>
    <n v="87477"/>
    <n v="3646291.6199999698"/>
    <n v="2148697.1499999701"/>
    <n v="5.5986366198748902E-2"/>
  </r>
  <r>
    <n v="5"/>
    <s v="Store Phoenix"/>
    <x v="0"/>
    <s v="Phoenix"/>
    <x v="2"/>
    <x v="1"/>
    <n v="15736"/>
    <n v="612693.79"/>
    <n v="336709.00000000099"/>
    <n v="5.5273141158595197E-2"/>
  </r>
  <r>
    <n v="6"/>
    <s v="Store Shanghai"/>
    <x v="1"/>
    <s v="Shanghai"/>
    <x v="0"/>
    <x v="0"/>
    <n v="170229"/>
    <n v="7372073.5961549701"/>
    <n v="4404151.7161549497"/>
    <n v="5.4499624049810701E-2"/>
  </r>
  <r>
    <n v="6"/>
    <s v="Store Shanghai"/>
    <x v="1"/>
    <s v="Shanghai"/>
    <x v="1"/>
    <x v="0"/>
    <n v="206699"/>
    <n v="9085272.9062788095"/>
    <n v="5525820.1862789197"/>
    <n v="5.5346804350969302E-2"/>
  </r>
  <r>
    <n v="6"/>
    <s v="Store Shanghai"/>
    <x v="1"/>
    <s v="Shanghai"/>
    <x v="2"/>
    <x v="1"/>
    <n v="44540"/>
    <n v="1829423.46443701"/>
    <n v="1040959.8344369699"/>
    <n v="5.2968107559412898E-2"/>
  </r>
  <r>
    <n v="7"/>
    <s v="Store Beijing"/>
    <x v="1"/>
    <s v="Beijing"/>
    <x v="0"/>
    <x v="2"/>
    <n v="88360"/>
    <n v="3850925.6984610199"/>
    <n v="2302637.1284610098"/>
    <n v="5.8726712538862198E-2"/>
  </r>
  <r>
    <n v="7"/>
    <s v="Store Beijing"/>
    <x v="1"/>
    <s v="Beijing"/>
    <x v="1"/>
    <x v="0"/>
    <n v="212888"/>
    <n v="9396002.8693259303"/>
    <n v="5738789.05932598"/>
    <n v="5.5276377223634598E-2"/>
  </r>
  <r>
    <n v="7"/>
    <s v="Store Beijing"/>
    <x v="1"/>
    <s v="Beijing"/>
    <x v="2"/>
    <x v="1"/>
    <n v="13017"/>
    <n v="526892.60995799897"/>
    <n v="298289.95995799999"/>
    <n v="5.53376725606467E-2"/>
  </r>
  <r>
    <n v="8"/>
    <s v="Store Guangzhou"/>
    <x v="1"/>
    <s v="Guangzhou"/>
    <x v="0"/>
    <x v="0"/>
    <n v="186883"/>
    <n v="8167001.512542"/>
    <n v="4901372.77254197"/>
    <n v="5.48518100814561E-2"/>
  </r>
  <r>
    <n v="8"/>
    <s v="Store Guangzhou"/>
    <x v="1"/>
    <s v="Guangzhou"/>
    <x v="1"/>
    <x v="0"/>
    <n v="199928"/>
    <n v="8868264.9351927601"/>
    <n v="5437137.5351930596"/>
    <n v="5.53315963715185E-2"/>
  </r>
  <r>
    <n v="8"/>
    <s v="Store Guangzhou"/>
    <x v="1"/>
    <s v="Guangzhou"/>
    <x v="2"/>
    <x v="1"/>
    <n v="20664"/>
    <n v="845147.50781399605"/>
    <n v="478177.47781400301"/>
    <n v="5.2555943671375102E-2"/>
  </r>
  <r>
    <n v="9"/>
    <s v="Store Shenzhen"/>
    <x v="1"/>
    <s v="Shenzhen"/>
    <x v="0"/>
    <x v="0"/>
    <n v="158840"/>
    <n v="6786146.8387380904"/>
    <n v="4002701.05873799"/>
    <n v="5.73421732527057E-2"/>
  </r>
  <r>
    <n v="9"/>
    <s v="Store Shenzhen"/>
    <x v="1"/>
    <s v="Shenzhen"/>
    <x v="1"/>
    <x v="0"/>
    <n v="170548"/>
    <n v="7480058.4131789301"/>
    <n v="4564318.4831789704"/>
    <n v="5.6511984176283302E-2"/>
  </r>
  <r>
    <n v="9"/>
    <s v="Store Shenzhen"/>
    <x v="1"/>
    <s v="Shenzhen"/>
    <x v="2"/>
    <x v="1"/>
    <n v="17260"/>
    <n v="716196.05397599901"/>
    <n v="411674.703976002"/>
    <n v="5.0966192386053398E-2"/>
  </r>
  <r>
    <n v="10"/>
    <s v="Store Chongqing"/>
    <x v="1"/>
    <s v="Chongqing"/>
    <x v="0"/>
    <x v="2"/>
    <n v="89545"/>
    <n v="3899219.6698380201"/>
    <n v="2337618.4398379899"/>
    <n v="5.3692758952124699E-2"/>
  </r>
  <r>
    <n v="10"/>
    <s v="Store Chongqing"/>
    <x v="1"/>
    <s v="Chongqing"/>
    <x v="1"/>
    <x v="0"/>
    <n v="119917"/>
    <n v="5267236.18698599"/>
    <n v="3201874.14698601"/>
    <n v="5.8207213053035098E-2"/>
  </r>
  <r>
    <n v="10"/>
    <s v="Store Chongqing"/>
    <x v="1"/>
    <s v="Chongqing"/>
    <x v="2"/>
    <x v="1"/>
    <n v="9849"/>
    <n v="390116.898621"/>
    <n v="217841.26862099901"/>
    <n v="6.4103098955371404E-2"/>
  </r>
  <r>
    <n v="11"/>
    <s v="Store Berlin"/>
    <x v="2"/>
    <s v="Berlin"/>
    <x v="0"/>
    <x v="2"/>
    <n v="110725"/>
    <n v="4434389.36924899"/>
    <n v="2496761.3792490098"/>
    <n v="5.80379639237074E-2"/>
  </r>
  <r>
    <n v="11"/>
    <s v="Store Berlin"/>
    <x v="2"/>
    <s v="Berlin"/>
    <x v="1"/>
    <x v="0"/>
    <n v="172547"/>
    <n v="6843908.4050739696"/>
    <n v="3893137.4850740102"/>
    <n v="5.5904267782452499E-2"/>
  </r>
  <r>
    <n v="11"/>
    <s v="Store Berlin"/>
    <x v="2"/>
    <s v="Berlin"/>
    <x v="2"/>
    <x v="1"/>
    <n v="17194"/>
    <n v="624465.39484999899"/>
    <n v="322623.794850001"/>
    <n v="5.5924150520017701E-2"/>
  </r>
  <r>
    <n v="12"/>
    <s v="Store Hamburg"/>
    <x v="2"/>
    <s v="Hamburg"/>
    <x v="0"/>
    <x v="1"/>
    <n v="67957"/>
    <n v="2730082.0880419901"/>
    <n v="1538487.4080419899"/>
    <n v="5.5020696334921501E-2"/>
  </r>
  <r>
    <n v="12"/>
    <s v="Store Hamburg"/>
    <x v="2"/>
    <s v="Hamburg"/>
    <x v="1"/>
    <x v="2"/>
    <n v="101377"/>
    <n v="3985430.3186650299"/>
    <n v="2242918.8486649999"/>
    <n v="5.82266777431256E-2"/>
  </r>
  <r>
    <n v="12"/>
    <s v="Store Hamburg"/>
    <x v="2"/>
    <s v="Hamburg"/>
    <x v="2"/>
    <x v="1"/>
    <n v="9685"/>
    <n v="364873.91111400101"/>
    <n v="194820.85111399999"/>
    <n v="4.28715878798855E-2"/>
  </r>
  <r>
    <n v="13"/>
    <s v="Store Munich"/>
    <x v="2"/>
    <s v="Munich"/>
    <x v="0"/>
    <x v="1"/>
    <n v="56622"/>
    <n v="2276633.6609190102"/>
    <n v="1286089.3709189901"/>
    <n v="5.8170264920697899E-2"/>
  </r>
  <r>
    <n v="13"/>
    <s v="Store Munich"/>
    <x v="2"/>
    <s v="Munich"/>
    <x v="1"/>
    <x v="1"/>
    <n v="55669"/>
    <n v="2195444.4794920101"/>
    <n v="1234012.43949199"/>
    <n v="5.56485647555316E-2"/>
  </r>
  <r>
    <n v="13"/>
    <s v="Store Munich"/>
    <x v="2"/>
    <s v="Munich"/>
    <x v="2"/>
    <x v="1"/>
    <n v="12351"/>
    <n v="439085.30134300003"/>
    <n v="221059.82134299999"/>
    <n v="5.8804289511546502E-2"/>
  </r>
  <r>
    <n v="14"/>
    <s v="Store  Cologne"/>
    <x v="2"/>
    <s v=" Cologne"/>
    <x v="0"/>
    <x v="1"/>
    <n v="76859"/>
    <n v="3036810.838556"/>
    <n v="1696312.9385559999"/>
    <n v="5.5531889597187398E-2"/>
  </r>
  <r>
    <n v="14"/>
    <s v="Store  Cologne"/>
    <x v="2"/>
    <s v=" Cologne"/>
    <x v="1"/>
    <x v="1"/>
    <n v="52371"/>
    <n v="2077128.81338102"/>
    <n v="1168863.7433809801"/>
    <n v="5.4507060603469999E-2"/>
  </r>
  <r>
    <n v="14"/>
    <s v="Store  Cologne"/>
    <x v="2"/>
    <s v=" Cologne"/>
    <x v="2"/>
    <x v="1"/>
    <n v="7623"/>
    <n v="289957.79768800002"/>
    <n v="157383.77768799901"/>
    <n v="4.4901993319269903E-2"/>
  </r>
  <r>
    <n v="15"/>
    <s v="Store Frankfurt"/>
    <x v="2"/>
    <s v="Frankfurt"/>
    <x v="0"/>
    <x v="1"/>
    <n v="45626"/>
    <n v="1842120.99284399"/>
    <n v="1047929.37284399"/>
    <n v="5.2073226862836997E-2"/>
  </r>
  <r>
    <n v="15"/>
    <s v="Store Frankfurt"/>
    <x v="2"/>
    <s v="Frankfurt"/>
    <x v="1"/>
    <x v="1"/>
    <n v="27853"/>
    <n v="1108594.53372399"/>
    <n v="627676.92372399499"/>
    <n v="5.9105348389569198E-2"/>
  </r>
  <r>
    <n v="15"/>
    <s v="Store Frankfurt"/>
    <x v="2"/>
    <s v="Frankfurt"/>
    <x v="2"/>
    <x v="1"/>
    <n v="10867"/>
    <n v="395971.25655800098"/>
    <n v="202180.496558001"/>
    <n v="5.2442291788781903E-2"/>
  </r>
  <r>
    <n v="16"/>
    <s v="Store London"/>
    <x v="3"/>
    <s v="London"/>
    <x v="0"/>
    <x v="1"/>
    <n v="69142"/>
    <n v="2395948.6980000301"/>
    <n v="1195502.2779999999"/>
    <n v="5.73578519034732E-2"/>
  </r>
  <r>
    <n v="16"/>
    <s v="Store London"/>
    <x v="3"/>
    <s v="London"/>
    <x v="1"/>
    <x v="1"/>
    <n v="126470"/>
    <n v="3983497.9469999601"/>
    <n v="1808566.017"/>
    <n v="5.4839796594035997E-2"/>
  </r>
  <r>
    <n v="16"/>
    <s v="Store London"/>
    <x v="3"/>
    <s v="London"/>
    <x v="2"/>
    <x v="1"/>
    <n v="11937"/>
    <n v="330160.53199999803"/>
    <n v="122521.151999999"/>
    <n v="5.0974054303104803E-2"/>
  </r>
  <r>
    <n v="17"/>
    <s v="Store Birmingham"/>
    <x v="3"/>
    <s v="Birmingham"/>
    <x v="0"/>
    <x v="1"/>
    <n v="77913"/>
    <n v="2696715.6580000399"/>
    <n v="1338024.058"/>
    <n v="5.72951559494395E-2"/>
  </r>
  <r>
    <n v="17"/>
    <s v="Store Birmingham"/>
    <x v="3"/>
    <s v="Birmingham"/>
    <x v="1"/>
    <x v="1"/>
    <n v="62632"/>
    <n v="1991148.09399999"/>
    <n v="917100.02400000498"/>
    <n v="5.72061130620014E-2"/>
  </r>
  <r>
    <n v="17"/>
    <s v="Store Birmingham"/>
    <x v="3"/>
    <s v="Birmingham"/>
    <x v="2"/>
    <x v="1"/>
    <n v="8180"/>
    <n v="224642.02799999999"/>
    <n v="81725.888000000006"/>
    <n v="4.7420290800996301E-2"/>
  </r>
  <r>
    <n v="18"/>
    <s v="Store Glasgow"/>
    <x v="3"/>
    <s v="Glasgow"/>
    <x v="0"/>
    <x v="1"/>
    <n v="34288"/>
    <n v="1205162.9329999899"/>
    <n v="601955.47300000198"/>
    <n v="5.6401898383598201E-2"/>
  </r>
  <r>
    <n v="18"/>
    <s v="Store Glasgow"/>
    <x v="3"/>
    <s v="Glasgow"/>
    <x v="1"/>
    <x v="1"/>
    <n v="50180"/>
    <n v="1587567.00699999"/>
    <n v="726666.14699999802"/>
    <n v="5.6776585436324301E-2"/>
  </r>
  <r>
    <n v="18"/>
    <s v="Store Glasgow"/>
    <x v="3"/>
    <s v="Glasgow"/>
    <x v="2"/>
    <x v="1"/>
    <n v="5699"/>
    <n v="158584.685999999"/>
    <n v="58051.356000000102"/>
    <n v="5.2954945570316297E-2"/>
  </r>
  <r>
    <n v="19"/>
    <s v="Store Liverpool"/>
    <x v="3"/>
    <s v="Liverpool"/>
    <x v="0"/>
    <x v="1"/>
    <n v="54257"/>
    <n v="1910904.04700002"/>
    <n v="962100.75700000196"/>
    <n v="5.6429910219097802E-2"/>
  </r>
  <r>
    <n v="19"/>
    <s v="Store Liverpool"/>
    <x v="3"/>
    <s v="Liverpool"/>
    <x v="1"/>
    <x v="1"/>
    <n v="38752"/>
    <n v="1205955.2959999801"/>
    <n v="545962.975999997"/>
    <n v="5.6229712774590601E-2"/>
  </r>
  <r>
    <n v="19"/>
    <s v="Store Liverpool"/>
    <x v="3"/>
    <s v="Liverpool"/>
    <x v="2"/>
    <x v="1"/>
    <n v="4849"/>
    <n v="129421.474"/>
    <n v="43896.8840000001"/>
    <n v="6.9614754732624906E-2"/>
  </r>
  <r>
    <n v="20"/>
    <s v="Store Bristol"/>
    <x v="3"/>
    <s v="Bristol"/>
    <x v="0"/>
    <x v="1"/>
    <n v="65391"/>
    <n v="2306980.4420000101"/>
    <n v="1157536.422"/>
    <n v="5.4523674195739599E-2"/>
  </r>
  <r>
    <n v="20"/>
    <s v="Store Bristol"/>
    <x v="3"/>
    <s v="Bristol"/>
    <x v="1"/>
    <x v="1"/>
    <n v="74542"/>
    <n v="2347753.55100002"/>
    <n v="1067970.54099999"/>
    <n v="5.6308016748324002E-2"/>
  </r>
  <r>
    <n v="20"/>
    <s v="Store Bristol"/>
    <x v="3"/>
    <s v="Bristol"/>
    <x v="2"/>
    <x v="1"/>
    <n v="5226"/>
    <n v="144718.39199999999"/>
    <n v="50545.021999999903"/>
    <n v="5.92278612686572E-2"/>
  </r>
  <r>
    <n v="21"/>
    <s v="Store Paris"/>
    <x v="4"/>
    <s v="Paris"/>
    <x v="0"/>
    <x v="2"/>
    <n v="110972"/>
    <n v="4395941.6065109596"/>
    <n v="2462242.76651099"/>
    <n v="5.8274591858149899E-2"/>
  </r>
  <r>
    <n v="21"/>
    <s v="Store Paris"/>
    <x v="4"/>
    <s v="Paris"/>
    <x v="1"/>
    <x v="1"/>
    <n v="85253"/>
    <n v="3389315.8145289798"/>
    <n v="1931432.754529"/>
    <n v="5.7750500885296499E-2"/>
  </r>
  <r>
    <n v="21"/>
    <s v="Store Paris"/>
    <x v="4"/>
    <s v="Paris"/>
    <x v="2"/>
    <x v="1"/>
    <n v="11385"/>
    <n v="421147.94482500001"/>
    <n v="220897.844824998"/>
    <n v="5.6476855819084702E-2"/>
  </r>
  <r>
    <n v="22"/>
    <s v="Store Marseille"/>
    <x v="4"/>
    <s v="Marseille"/>
    <x v="0"/>
    <x v="1"/>
    <n v="52191"/>
    <n v="2096575.0299250099"/>
    <n v="1189222.659925"/>
    <n v="5.84727398808104E-2"/>
  </r>
  <r>
    <n v="22"/>
    <s v="Store Marseille"/>
    <x v="4"/>
    <s v="Marseille"/>
    <x v="1"/>
    <x v="1"/>
    <n v="56901"/>
    <n v="2271437.690614"/>
    <n v="1300287.440614"/>
    <n v="5.7033127080784299E-2"/>
  </r>
  <r>
    <n v="22"/>
    <s v="Store Marseille"/>
    <x v="4"/>
    <s v="Marseille"/>
    <x v="2"/>
    <x v="1"/>
    <n v="14867"/>
    <n v="551147.77561600402"/>
    <n v="290627.225616001"/>
    <n v="5.2120772964218597E-2"/>
  </r>
  <r>
    <n v="23"/>
    <s v="Store Lyon"/>
    <x v="4"/>
    <s v="Lyon"/>
    <x v="0"/>
    <x v="1"/>
    <n v="52312"/>
    <n v="2094754.8240809999"/>
    <n v="1179014.3140809899"/>
    <n v="5.4384195775975898E-2"/>
  </r>
  <r>
    <n v="23"/>
    <s v="Store Lyon"/>
    <x v="4"/>
    <s v="Lyon"/>
    <x v="1"/>
    <x v="1"/>
    <n v="69277"/>
    <n v="2764821.4969629799"/>
    <n v="1581458.32696298"/>
    <n v="5.3686025205821497E-2"/>
  </r>
  <r>
    <n v="23"/>
    <s v="Store Lyon"/>
    <x v="4"/>
    <s v="Lyon"/>
    <x v="2"/>
    <x v="1"/>
    <n v="11521"/>
    <n v="424060.96770799998"/>
    <n v="221056.65770800001"/>
    <n v="5.0379340241224702E-2"/>
  </r>
  <r>
    <n v="24"/>
    <s v="Store Toulouse"/>
    <x v="4"/>
    <s v="Toulouse"/>
    <x v="0"/>
    <x v="1"/>
    <n v="61702"/>
    <n v="2457955.954254"/>
    <n v="1384206.27425399"/>
    <n v="5.6256184566468803E-2"/>
  </r>
  <r>
    <n v="24"/>
    <s v="Store Toulouse"/>
    <x v="4"/>
    <s v="Toulouse"/>
    <x v="1"/>
    <x v="1"/>
    <n v="61986"/>
    <n v="2434226.1237610001"/>
    <n v="1378752.6337609801"/>
    <n v="5.71243683942552E-2"/>
  </r>
  <r>
    <n v="24"/>
    <s v="Store Toulouse"/>
    <x v="4"/>
    <s v="Toulouse"/>
    <x v="2"/>
    <x v="1"/>
    <n v="9395"/>
    <n v="347440.16427799902"/>
    <n v="184821.80427799901"/>
    <n v="4.7677926527620103E-2"/>
  </r>
  <r>
    <n v="25"/>
    <s v="Store Nice"/>
    <x v="4"/>
    <s v="Nice"/>
    <x v="0"/>
    <x v="1"/>
    <n v="41147"/>
    <n v="1665556.38784"/>
    <n v="946683.84783999401"/>
    <n v="5.5025681127123902E-2"/>
  </r>
  <r>
    <n v="25"/>
    <s v="Store Nice"/>
    <x v="4"/>
    <s v="Nice"/>
    <x v="1"/>
    <x v="1"/>
    <n v="66680"/>
    <n v="2661231.365702"/>
    <n v="1516367.115702"/>
    <n v="5.5457671869770103E-2"/>
  </r>
  <r>
    <n v="25"/>
    <s v="Store Nice"/>
    <x v="4"/>
    <s v="Nice"/>
    <x v="2"/>
    <x v="1"/>
    <n v="7999"/>
    <n v="289325.17344000097"/>
    <n v="146411.56344"/>
    <n v="5.62897992868907E-2"/>
  </r>
  <r>
    <n v="26"/>
    <s v="Store Madrid"/>
    <x v="5"/>
    <s v="Madrid"/>
    <x v="0"/>
    <x v="2"/>
    <n v="92746"/>
    <n v="3751577.0330050201"/>
    <n v="2134963.4530049898"/>
    <n v="5.5280765084575099E-2"/>
  </r>
  <r>
    <n v="26"/>
    <s v="Store Madrid"/>
    <x v="5"/>
    <s v="Madrid"/>
    <x v="1"/>
    <x v="2"/>
    <n v="116166"/>
    <n v="4649048.25414492"/>
    <n v="2654265.9041450401"/>
    <n v="5.7325763043401201E-2"/>
  </r>
  <r>
    <n v="26"/>
    <s v="Store Madrid"/>
    <x v="5"/>
    <s v="Madrid"/>
    <x v="2"/>
    <x v="1"/>
    <n v="10834"/>
    <n v="396447.52967900003"/>
    <n v="203017.52967900099"/>
    <n v="5.2669377709939798E-2"/>
  </r>
  <r>
    <n v="27"/>
    <s v="Store Barcelona"/>
    <x v="5"/>
    <s v="Barcelona"/>
    <x v="0"/>
    <x v="1"/>
    <n v="39050"/>
    <n v="1556908.478661"/>
    <n v="879213.72866100003"/>
    <n v="6.0301520842059197E-2"/>
  </r>
  <r>
    <n v="27"/>
    <s v="Store Barcelona"/>
    <x v="5"/>
    <s v="Barcelona"/>
    <x v="1"/>
    <x v="1"/>
    <n v="47431"/>
    <n v="1858737.81515999"/>
    <n v="1049716.58515999"/>
    <n v="5.8863421478831397E-2"/>
  </r>
  <r>
    <n v="27"/>
    <s v="Store Barcelona"/>
    <x v="5"/>
    <s v="Barcelona"/>
    <x v="2"/>
    <x v="1"/>
    <n v="9954"/>
    <n v="357013.92238300102"/>
    <n v="183433.352382999"/>
    <n v="5.7844498658985097E-2"/>
  </r>
  <r>
    <n v="28"/>
    <s v="Store Valencia"/>
    <x v="5"/>
    <s v="Valencia"/>
    <x v="0"/>
    <x v="1"/>
    <n v="36658"/>
    <n v="1474848.1371520001"/>
    <n v="838061.48715200101"/>
    <n v="5.91511585387978E-2"/>
  </r>
  <r>
    <n v="28"/>
    <s v="Store Valencia"/>
    <x v="5"/>
    <s v="Valencia"/>
    <x v="1"/>
    <x v="1"/>
    <n v="31981"/>
    <n v="1277673.2856749899"/>
    <n v="730299.24567500199"/>
    <n v="5.52883609208282E-2"/>
  </r>
  <r>
    <n v="28"/>
    <s v="Store Valencia"/>
    <x v="5"/>
    <s v="Valencia"/>
    <x v="2"/>
    <x v="1"/>
    <n v="8955"/>
    <n v="322584.305942001"/>
    <n v="163980.815941999"/>
    <n v="5.8142513740661497E-2"/>
  </r>
  <r>
    <n v="29"/>
    <s v="Store Sevilla"/>
    <x v="5"/>
    <s v="Sevilla"/>
    <x v="0"/>
    <x v="1"/>
    <n v="32349"/>
    <n v="1297036.0814050001"/>
    <n v="735750.241404998"/>
    <n v="5.7680195735024899E-2"/>
  </r>
  <r>
    <n v="29"/>
    <s v="Store Sevilla"/>
    <x v="5"/>
    <s v="Sevilla"/>
    <x v="1"/>
    <x v="1"/>
    <n v="65729"/>
    <n v="2651387.2611509799"/>
    <n v="1528181.9811509899"/>
    <n v="5.3969573798066002E-2"/>
  </r>
  <r>
    <n v="29"/>
    <s v="Store Sevilla"/>
    <x v="5"/>
    <s v="Sevilla"/>
    <x v="2"/>
    <x v="1"/>
    <n v="4504"/>
    <n v="163748.28664099899"/>
    <n v="85201.326641000094"/>
    <n v="5.2454356712388198E-2"/>
  </r>
  <r>
    <n v="30"/>
    <s v="Store Zaragoza"/>
    <x v="5"/>
    <s v="Zaragoza"/>
    <x v="0"/>
    <x v="1"/>
    <n v="62102"/>
    <n v="2490941.4257930098"/>
    <n v="1410928.2357929901"/>
    <n v="5.5118207307446897E-2"/>
  </r>
  <r>
    <n v="30"/>
    <s v="Store Zaragoza"/>
    <x v="5"/>
    <s v="Zaragoza"/>
    <x v="1"/>
    <x v="1"/>
    <n v="62307"/>
    <n v="2488104.6477400302"/>
    <n v="1426957.94773999"/>
    <n v="5.62635992194171E-2"/>
  </r>
  <r>
    <n v="30"/>
    <s v="Store Zaragoza"/>
    <x v="5"/>
    <s v="Zaragoza"/>
    <x v="2"/>
    <x v="1"/>
    <n v="8004"/>
    <n v="290581.703553"/>
    <n v="150518.91355299999"/>
    <n v="6.0401302232003497E-2"/>
  </r>
  <r>
    <n v="31"/>
    <s v="Store Lisbon"/>
    <x v="6"/>
    <s v="Lisbon"/>
    <x v="0"/>
    <x v="2"/>
    <n v="121981"/>
    <n v="4882003.5135389902"/>
    <n v="2755085.28353904"/>
    <n v="5.73126536341175E-2"/>
  </r>
  <r>
    <n v="31"/>
    <s v="Store Lisbon"/>
    <x v="6"/>
    <s v="Lisbon"/>
    <x v="1"/>
    <x v="1"/>
    <n v="79169"/>
    <n v="3182196.9854309801"/>
    <n v="1825761.7354309801"/>
    <n v="5.3808484400329003E-2"/>
  </r>
  <r>
    <n v="31"/>
    <s v="Store Lisbon"/>
    <x v="6"/>
    <s v="Lisbon"/>
    <x v="2"/>
    <x v="1"/>
    <n v="9082"/>
    <n v="344074.97783000098"/>
    <n v="186170.48783"/>
    <n v="4.7489538697296003E-2"/>
  </r>
  <r>
    <n v="32"/>
    <s v="Store Porto"/>
    <x v="6"/>
    <s v="Porto"/>
    <x v="0"/>
    <x v="1"/>
    <n v="72985"/>
    <n v="2931931.03201201"/>
    <n v="1658529.1420120201"/>
    <n v="6.14012999020183E-2"/>
  </r>
  <r>
    <n v="32"/>
    <s v="Store Porto"/>
    <x v="6"/>
    <s v="Porto"/>
    <x v="1"/>
    <x v="1"/>
    <n v="77393"/>
    <n v="3081370.7237880002"/>
    <n v="1749009.1137880001"/>
    <n v="5.6566551256563603E-2"/>
  </r>
  <r>
    <n v="32"/>
    <s v="Store Porto"/>
    <x v="6"/>
    <s v="Porto"/>
    <x v="2"/>
    <x v="1"/>
    <n v="5254"/>
    <n v="193855.576012"/>
    <n v="102160.176012"/>
    <n v="4.2729522799140301E-2"/>
  </r>
  <r>
    <n v="33"/>
    <s v="Store Braga"/>
    <x v="6"/>
    <s v="Braga"/>
    <x v="0"/>
    <x v="1"/>
    <n v="37320"/>
    <n v="1495800.2601920001"/>
    <n v="852779.84019200504"/>
    <n v="5.5416651290893702E-2"/>
  </r>
  <r>
    <n v="33"/>
    <s v="Store Braga"/>
    <x v="6"/>
    <s v="Braga"/>
    <x v="1"/>
    <x v="1"/>
    <n v="29138"/>
    <n v="1166610.2968929899"/>
    <n v="664481.59689299599"/>
    <n v="5.5939029001275703E-2"/>
  </r>
  <r>
    <n v="33"/>
    <s v="Store Braga"/>
    <x v="6"/>
    <s v="Braga"/>
    <x v="2"/>
    <x v="1"/>
    <n v="7586"/>
    <n v="276061.778147"/>
    <n v="142320.20814699901"/>
    <n v="5.1030092115589898E-2"/>
  </r>
  <r>
    <n v="34"/>
    <s v="Store Guimarães"/>
    <x v="6"/>
    <s v="Guimarães"/>
    <x v="0"/>
    <x v="1"/>
    <n v="42218"/>
    <n v="1686266.7589799899"/>
    <n v="948518.18897999602"/>
    <n v="5.7583631877817398E-2"/>
  </r>
  <r>
    <n v="34"/>
    <s v="Store Guimarães"/>
    <x v="6"/>
    <s v="Guimarães"/>
    <x v="1"/>
    <x v="1"/>
    <n v="40092"/>
    <n v="1600174.1489249901"/>
    <n v="912195.00892500102"/>
    <n v="5.4719610483535297E-2"/>
  </r>
  <r>
    <n v="34"/>
    <s v="Store Guimarães"/>
    <x v="6"/>
    <s v="Guimarães"/>
    <x v="2"/>
    <x v="1"/>
    <n v="7602"/>
    <n v="279414.10033099999"/>
    <n v="145527.920331"/>
    <n v="5.9035543932419998E-2"/>
  </r>
  <r>
    <n v="35"/>
    <s v="Store Coimbra"/>
    <x v="6"/>
    <s v="Coimbra"/>
    <x v="0"/>
    <x v="1"/>
    <n v="41388"/>
    <n v="1690770.4656089901"/>
    <n v="969818.08560899796"/>
    <n v="5.1837542994222198E-2"/>
  </r>
  <r>
    <n v="35"/>
    <s v="Store Coimbra"/>
    <x v="6"/>
    <s v="Coimbra"/>
    <x v="1"/>
    <x v="1"/>
    <n v="57128"/>
    <n v="2259739.0536369798"/>
    <n v="1281540.9536369999"/>
    <n v="5.8890637414263598E-2"/>
  </r>
  <r>
    <n v="35"/>
    <s v="Store Coimbra"/>
    <x v="6"/>
    <s v="Coimbra"/>
    <x v="2"/>
    <x v="1"/>
    <n v="8879"/>
    <n v="333409.56221999897"/>
    <n v="175132.41222"/>
    <n v="5.0485636151987999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x v="0"/>
    <n v="137501"/>
    <n v="2025608.0890240059"/>
    <n v="774824.96000001265"/>
    <n v="1172986.749024001"/>
    <n v="5.6264087825848658E-2"/>
  </r>
  <r>
    <x v="0"/>
    <x v="1"/>
    <n v="104939"/>
    <n v="2711780.4519350245"/>
    <n v="973294.78000000119"/>
    <n v="1640276.8219350004"/>
    <n v="5.6635020983662236E-2"/>
  </r>
  <r>
    <x v="0"/>
    <x v="2"/>
    <n v="153461"/>
    <n v="6053364.0171629889"/>
    <n v="2698107.7899999828"/>
    <n v="3085689.2271630252"/>
    <n v="5.5306849664443547E-2"/>
  </r>
  <r>
    <x v="0"/>
    <x v="3"/>
    <n v="214575"/>
    <n v="7034310.149571972"/>
    <n v="3175681.7099999567"/>
    <n v="3545651.4995720284"/>
    <n v="5.5471740371146737E-2"/>
  </r>
  <r>
    <x v="0"/>
    <x v="4"/>
    <n v="118594"/>
    <n v="2966485.1582870004"/>
    <n v="1120118.1700000134"/>
    <n v="1736702.2782870056"/>
    <n v="5.4268190333059567E-2"/>
  </r>
  <r>
    <x v="0"/>
    <x v="5"/>
    <n v="142001"/>
    <n v="4418533.5851809876"/>
    <n v="1839022.0900000299"/>
    <n v="2399137.5251809568"/>
    <n v="5.5557911575230719E-2"/>
  </r>
  <r>
    <x v="1"/>
    <x v="0"/>
    <n v="158436"/>
    <n v="2340304.6459899964"/>
    <n v="901852.56999998656"/>
    <n v="1348048.5559900003"/>
    <n v="5.5952008751411611E-2"/>
  </r>
  <r>
    <x v="1"/>
    <x v="6"/>
    <n v="333256"/>
    <n v="19025492.378926244"/>
    <n v="7567220.5100001115"/>
    <n v="10707699.368926074"/>
    <n v="5.5673150306639746E-2"/>
  </r>
  <r>
    <x v="1"/>
    <x v="7"/>
    <n v="381566"/>
    <n v="17732630.484182768"/>
    <n v="7394111.8599996632"/>
    <n v="9595533.8841830716"/>
    <n v="5.5915690968461017E-2"/>
  </r>
  <r>
    <x v="1"/>
    <x v="8"/>
    <n v="158901"/>
    <n v="4084487.5440799817"/>
    <n v="1548487.7099999576"/>
    <n v="2376651.0440800209"/>
    <n v="5.6249457296604487E-2"/>
  </r>
  <r>
    <x v="1"/>
    <x v="9"/>
    <n v="315046"/>
    <n v="17358285.775414903"/>
    <n v="6523951.7400002582"/>
    <n v="10181725.835414739"/>
    <n v="5.6218865629764067E-2"/>
  </r>
  <r>
    <x v="1"/>
    <x v="10"/>
    <n v="368747"/>
    <n v="11588395.874077946"/>
    <n v="4585474.5599999232"/>
    <n v="6542637.1540779807"/>
    <n v="5.6042890005307107E-2"/>
  </r>
  <r>
    <x v="1"/>
    <x v="11"/>
    <n v="350041"/>
    <n v="8443040.9599367604"/>
    <n v="3435960.5900000324"/>
    <n v="4659930.3999369498"/>
    <n v="5.6187615927975339E-2"/>
  </r>
  <r>
    <x v="1"/>
    <x v="12"/>
    <n v="333396"/>
    <n v="12496633.959404765"/>
    <n v="4647564.1500001522"/>
    <n v="7385699.1994049633"/>
    <n v="5.6199422487229589E-2"/>
  </r>
  <r>
    <x v="1"/>
    <x v="13"/>
    <n v="316517"/>
    <n v="26836853.503874969"/>
    <n v="10457506.87000056"/>
    <n v="15321278.633874506"/>
    <n v="5.5693458122226605E-2"/>
  </r>
  <r>
    <x v="1"/>
    <x v="14"/>
    <n v="351685"/>
    <n v="13087385.778081203"/>
    <n v="5208382.6999999825"/>
    <n v="7356420.588081033"/>
    <n v="5.6604831624401719E-2"/>
  </r>
  <r>
    <x v="1"/>
    <x v="15"/>
    <n v="328420"/>
    <n v="7561472.0610689009"/>
    <n v="2856465.9399999548"/>
    <n v="4421693.2410690077"/>
    <n v="5.6018242862506187E-2"/>
  </r>
  <r>
    <x v="2"/>
    <x v="0"/>
    <n v="158750"/>
    <n v="2269285.2058899868"/>
    <n v="885896.21000000823"/>
    <n v="1294722.1058900079"/>
    <n v="5.6610675333197788E-2"/>
  </r>
  <r>
    <x v="2"/>
    <x v="6"/>
    <n v="336147"/>
    <n v="19531224.288401894"/>
    <n v="7482578.3499997109"/>
    <n v="11300497.678401938"/>
    <n v="5.575854723051963E-2"/>
  </r>
  <r>
    <x v="2"/>
    <x v="9"/>
    <n v="371768"/>
    <n v="18635628.332393218"/>
    <n v="7453826.4300001059"/>
    <n v="10416153.022393076"/>
    <n v="5.6032419164801686E-2"/>
  </r>
  <r>
    <x v="2"/>
    <x v="16"/>
    <n v="382069"/>
    <n v="8852666.7976527847"/>
    <n v="3555056.9599998174"/>
    <n v="4943318.1776530175"/>
    <n v="5.5982295095727871E-2"/>
  </r>
  <r>
    <x v="2"/>
    <x v="12"/>
    <n v="338381"/>
    <n v="13038367.124409974"/>
    <n v="4929074.0599996848"/>
    <n v="7615062.2544099959"/>
    <n v="5.7024904269146547E-2"/>
  </r>
  <r>
    <x v="2"/>
    <x v="17"/>
    <n v="319742"/>
    <n v="27117035.863165215"/>
    <n v="10366983.169999504"/>
    <n v="15714423.263165101"/>
    <n v="5.6336357647806111E-2"/>
  </r>
  <r>
    <x v="2"/>
    <x v="18"/>
    <n v="356515"/>
    <n v="13070132.055515962"/>
    <n v="5107007.2900001062"/>
    <n v="7450418.5955158519"/>
    <n v="5.5952400736991391E-2"/>
  </r>
  <r>
    <x v="2"/>
    <x v="19"/>
    <n v="371025"/>
    <n v="11080473.126290066"/>
    <n v="4200986.4699997772"/>
    <n v="6454430.8862901907"/>
    <n v="5.5434449838049744E-2"/>
  </r>
  <r>
    <x v="2"/>
    <x v="20"/>
    <n v="158592"/>
    <n v="4102927.3197599766"/>
    <n v="1527699.5800000275"/>
    <n v="2423194.9697599984"/>
    <n v="5.695753183067432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x v="0"/>
    <n v="2615062.8739200062"/>
    <n v="2025608.0890240062"/>
    <n v="589454.78489600262"/>
    <n v="0.31220514097219254"/>
  </r>
  <r>
    <x v="0"/>
    <x v="1"/>
    <n v="3342426.3029450225"/>
    <n v="2711780.451935024"/>
    <n v="630645.85100999929"/>
    <n v="0.503784796228121"/>
  </r>
  <r>
    <x v="0"/>
    <x v="2"/>
    <n v="8607723.6513000298"/>
    <n v="6053364.0171629889"/>
    <n v="2554359.6341370009"/>
    <n v="0.44940392045986249"/>
  </r>
  <r>
    <x v="0"/>
    <x v="3"/>
    <n v="10574856.666144911"/>
    <n v="7034310.149571972"/>
    <n v="3540546.5165729402"/>
    <n v="0.38407397562943552"/>
  </r>
  <r>
    <x v="0"/>
    <x v="4"/>
    <n v="3736469.6827350012"/>
    <n v="2966485.1582870008"/>
    <n v="769984.52444800269"/>
    <n v="0.38421222960313434"/>
  </r>
  <r>
    <x v="0"/>
    <x v="5"/>
    <n v="5774401.2171350075"/>
    <n v="4418533.5851809876"/>
    <n v="1355867.6319540036"/>
    <n v="0.35712133503304705"/>
  </r>
  <r>
    <x v="1"/>
    <x v="0"/>
    <n v="2878935.1785699832"/>
    <n v="2340304.6459899964"/>
    <n v="538630.53258000093"/>
    <n v="0.50355879561728956"/>
  </r>
  <r>
    <x v="1"/>
    <x v="6"/>
    <n v="23940467.483070381"/>
    <n v="19025492.37892624"/>
    <n v="4914975.1041440023"/>
    <n v="0.47063749836145696"/>
  </r>
  <r>
    <x v="1"/>
    <x v="7"/>
    <n v="24075010.701579548"/>
    <n v="17732630.484182771"/>
    <n v="6342380.2173970649"/>
    <n v="0.41047974963185296"/>
  </r>
  <r>
    <x v="1"/>
    <x v="8"/>
    <n v="5024963.6686699511"/>
    <n v="4084487.5440799813"/>
    <n v="940476.12459000503"/>
    <n v="0.5037258844163075"/>
  </r>
  <r>
    <x v="1"/>
    <x v="9"/>
    <n v="21341787.206244882"/>
    <n v="17358285.775414903"/>
    <n v="3983501.430829999"/>
    <n v="0.50364910325912038"/>
  </r>
  <r>
    <x v="1"/>
    <x v="10"/>
    <n v="15589829.324169848"/>
    <n v="11588395.874077946"/>
    <n v="4001433.4500919878"/>
    <n v="0.43709359774631601"/>
  </r>
  <r>
    <x v="1"/>
    <x v="11"/>
    <n v="11051930.940169945"/>
    <n v="8443040.9599367622"/>
    <n v="2608889.980233029"/>
    <n v="0.43622646039497048"/>
  </r>
  <r>
    <x v="1"/>
    <x v="12"/>
    <n v="15588110.356295094"/>
    <n v="12496633.959404765"/>
    <n v="3091476.3968900014"/>
    <n v="0.40117981581292589"/>
  </r>
  <r>
    <x v="1"/>
    <x v="13"/>
    <n v="33039438.738121014"/>
    <n v="26836853.503874965"/>
    <n v="6202585.2342449548"/>
    <n v="0.50361407181151874"/>
  </r>
  <r>
    <x v="1"/>
    <x v="14"/>
    <n v="16655000.962535445"/>
    <n v="13087385.778081201"/>
    <n v="3567615.1844539857"/>
    <n v="0.40015410341318858"/>
  </r>
  <r>
    <x v="1"/>
    <x v="15"/>
    <n v="9447406.8187698033"/>
    <n v="7561472.0610688999"/>
    <n v="1885934.757701013"/>
    <n v="0.43037038729230226"/>
  </r>
  <r>
    <x v="2"/>
    <x v="0"/>
    <n v="2789539.1010249807"/>
    <n v="2269285.2058899868"/>
    <n v="520253.89513500326"/>
    <n v="0.50377676104972413"/>
  </r>
  <r>
    <x v="2"/>
    <x v="6"/>
    <n v="24584705.276374701"/>
    <n v="19531224.288401894"/>
    <n v="5053480.987972999"/>
    <n v="0.47060270065768239"/>
  </r>
  <r>
    <x v="2"/>
    <x v="9"/>
    <n v="24714301.641725678"/>
    <n v="18635628.332393218"/>
    <n v="6078673.3093319684"/>
    <n v="0.42829226924564667"/>
  </r>
  <r>
    <x v="2"/>
    <x v="16"/>
    <n v="12002715.410899922"/>
    <n v="8852666.7976527847"/>
    <n v="3150048.6132470304"/>
    <n v="0.4380909573330542"/>
  </r>
  <r>
    <x v="2"/>
    <x v="12"/>
    <n v="16273518.618405199"/>
    <n v="13038367.124409974"/>
    <n v="3235151.4939949866"/>
    <n v="0.40154179408766272"/>
  </r>
  <r>
    <x v="2"/>
    <x v="17"/>
    <n v="33388890.21471002"/>
    <n v="27117035.863165215"/>
    <n v="6271854.351545007"/>
    <n v="0.50361186786991052"/>
  </r>
  <r>
    <x v="2"/>
    <x v="18"/>
    <n v="16616662.551769977"/>
    <n v="13070132.055515962"/>
    <n v="3546530.4962539794"/>
    <n v="0.40056002574826577"/>
  </r>
  <r>
    <x v="2"/>
    <x v="19"/>
    <n v="14461702.435225088"/>
    <n v="11080473.126290068"/>
    <n v="3381229.3089349936"/>
    <n v="0.39269191968792971"/>
  </r>
  <r>
    <x v="2"/>
    <x v="20"/>
    <n v="5052760.6449149745"/>
    <n v="4102927.3197599761"/>
    <n v="949833.3251550101"/>
    <n v="0.503934398002669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8">
  <r>
    <x v="0"/>
    <s v="Qtr 1"/>
    <x v="0"/>
    <x v="0"/>
    <n v="738638.48600100027"/>
  </r>
  <r>
    <x v="0"/>
    <s v="Qtr 1"/>
    <x v="0"/>
    <x v="1"/>
    <n v="172627.85258000004"/>
  </r>
  <r>
    <x v="0"/>
    <s v="Qtr 1"/>
    <x v="0"/>
    <x v="2"/>
    <n v="154068.15839999996"/>
  </r>
  <r>
    <x v="0"/>
    <s v="Qtr 1"/>
    <x v="0"/>
    <x v="3"/>
    <n v="159580.10322399996"/>
  </r>
  <r>
    <x v="0"/>
    <s v="Qtr 1"/>
    <x v="0"/>
    <x v="4"/>
    <n v="153129.31744499991"/>
  </r>
  <r>
    <x v="0"/>
    <s v="Qtr 1"/>
    <x v="0"/>
    <x v="5"/>
    <n v="147987.59069099996"/>
  </r>
  <r>
    <x v="0"/>
    <s v="Qtr 1"/>
    <x v="0"/>
    <x v="6"/>
    <n v="303388.62056500016"/>
  </r>
  <r>
    <x v="0"/>
    <s v="Qtr 1"/>
    <x v="0"/>
    <x v="7"/>
    <n v="301967.74030600017"/>
  </r>
  <r>
    <x v="0"/>
    <s v="Qtr 1"/>
    <x v="0"/>
    <x v="8"/>
    <n v="149882.84115599995"/>
  </r>
  <r>
    <x v="0"/>
    <s v="Qtr 1"/>
    <x v="0"/>
    <x v="9"/>
    <n v="154290.88173399991"/>
  </r>
  <r>
    <x v="0"/>
    <s v="Qtr 1"/>
    <x v="0"/>
    <x v="10"/>
    <n v="118586.84029200001"/>
  </r>
  <r>
    <x v="0"/>
    <s v="Qtr 1"/>
    <x v="0"/>
    <x v="11"/>
    <n v="124491.37037699998"/>
  </r>
  <r>
    <x v="0"/>
    <s v="Qtr 1"/>
    <x v="0"/>
    <x v="12"/>
    <n v="118456.439121"/>
  </r>
  <r>
    <x v="0"/>
    <s v="Qtr 1"/>
    <x v="0"/>
    <x v="13"/>
    <n v="234238.62455000018"/>
  </r>
  <r>
    <x v="0"/>
    <s v="Qtr 1"/>
    <x v="0"/>
    <x v="14"/>
    <n v="246927.57336799998"/>
  </r>
  <r>
    <x v="0"/>
    <s v="Qtr 1"/>
    <x v="0"/>
    <x v="15"/>
    <n v="174918.91279199999"/>
  </r>
  <r>
    <x v="0"/>
    <s v="Qtr 1"/>
    <x v="0"/>
    <x v="16"/>
    <n v="123485.74809200001"/>
  </r>
  <r>
    <x v="0"/>
    <s v="Qtr 1"/>
    <x v="0"/>
    <x v="17"/>
    <n v="119814.83713200002"/>
  </r>
  <r>
    <x v="0"/>
    <s v="Qtr 1"/>
    <x v="0"/>
    <x v="18"/>
    <n v="117925.44444099997"/>
  </r>
  <r>
    <x v="0"/>
    <s v="Qtr 1"/>
    <x v="0"/>
    <x v="19"/>
    <n v="123385.97082299992"/>
  </r>
  <r>
    <x v="0"/>
    <s v="Qtr 1"/>
    <x v="0"/>
    <x v="20"/>
    <n v="236207.62190899992"/>
  </r>
  <r>
    <x v="0"/>
    <s v="Qtr 1"/>
    <x v="0"/>
    <x v="21"/>
    <n v="310301.57751299988"/>
  </r>
  <r>
    <x v="0"/>
    <s v="Qtr 1"/>
    <x v="0"/>
    <x v="22"/>
    <n v="118145.60533299997"/>
  </r>
  <r>
    <x v="0"/>
    <s v="Qtr 1"/>
    <x v="0"/>
    <x v="23"/>
    <n v="120690.25268300001"/>
  </r>
  <r>
    <x v="0"/>
    <s v="Qtr 1"/>
    <x v="0"/>
    <x v="24"/>
    <n v="125828.453478"/>
  </r>
  <r>
    <x v="0"/>
    <s v="Qtr 1"/>
    <x v="0"/>
    <x v="25"/>
    <n v="124720.92167800001"/>
  </r>
  <r>
    <x v="0"/>
    <s v="Qtr 1"/>
    <x v="0"/>
    <x v="26"/>
    <n v="118781.665958"/>
  </r>
  <r>
    <x v="0"/>
    <s v="Qtr 1"/>
    <x v="0"/>
    <x v="27"/>
    <n v="236604.47758800024"/>
  </r>
  <r>
    <x v="0"/>
    <s v="Qtr 1"/>
    <x v="0"/>
    <x v="28"/>
    <n v="237994.93725399993"/>
  </r>
  <r>
    <x v="0"/>
    <s v="Qtr 1"/>
    <x v="0"/>
    <x v="29"/>
    <n v="121071.858817"/>
  </r>
  <r>
    <x v="0"/>
    <s v="Qtr 1"/>
    <x v="0"/>
    <x v="30"/>
    <n v="122732.51543599999"/>
  </r>
  <r>
    <x v="0"/>
    <s v="Qtr 1"/>
    <x v="1"/>
    <x v="0"/>
    <n v="125959.54733399994"/>
  </r>
  <r>
    <x v="0"/>
    <s v="Qtr 1"/>
    <x v="1"/>
    <x v="1"/>
    <n v="123109.090084"/>
  </r>
  <r>
    <x v="0"/>
    <s v="Qtr 1"/>
    <x v="1"/>
    <x v="2"/>
    <n v="122482.96333399993"/>
  </r>
  <r>
    <x v="0"/>
    <s v="Qtr 1"/>
    <x v="1"/>
    <x v="3"/>
    <n v="246413.77598700003"/>
  </r>
  <r>
    <x v="0"/>
    <s v="Qtr 1"/>
    <x v="1"/>
    <x v="4"/>
    <n v="246466.09097600006"/>
  </r>
  <r>
    <x v="0"/>
    <s v="Qtr 1"/>
    <x v="1"/>
    <x v="5"/>
    <n v="124889.99592099995"/>
  </r>
  <r>
    <x v="0"/>
    <s v="Qtr 1"/>
    <x v="1"/>
    <x v="6"/>
    <n v="120429.43570499998"/>
  </r>
  <r>
    <x v="0"/>
    <s v="Qtr 1"/>
    <x v="1"/>
    <x v="7"/>
    <n v="127609.78889999996"/>
  </r>
  <r>
    <x v="0"/>
    <s v="Qtr 1"/>
    <x v="1"/>
    <x v="8"/>
    <n v="124848.21718499996"/>
  </r>
  <r>
    <x v="0"/>
    <s v="Qtr 1"/>
    <x v="1"/>
    <x v="9"/>
    <n v="123000.41432799997"/>
  </r>
  <r>
    <x v="0"/>
    <s v="Qtr 1"/>
    <x v="1"/>
    <x v="10"/>
    <n v="239278.26682800014"/>
  </r>
  <r>
    <x v="0"/>
    <s v="Qtr 1"/>
    <x v="1"/>
    <x v="11"/>
    <n v="250500.14314299985"/>
  </r>
  <r>
    <x v="0"/>
    <s v="Qtr 1"/>
    <x v="1"/>
    <x v="12"/>
    <n v="122330.75352999996"/>
  </r>
  <r>
    <x v="0"/>
    <s v="Qtr 1"/>
    <x v="1"/>
    <x v="13"/>
    <n v="121819.24177199998"/>
  </r>
  <r>
    <x v="0"/>
    <s v="Qtr 1"/>
    <x v="1"/>
    <x v="14"/>
    <n v="124416.49146"/>
  </r>
  <r>
    <x v="0"/>
    <s v="Qtr 1"/>
    <x v="1"/>
    <x v="15"/>
    <n v="125194.87883999998"/>
  </r>
  <r>
    <x v="0"/>
    <s v="Qtr 1"/>
    <x v="1"/>
    <x v="16"/>
    <n v="119123.13033299998"/>
  </r>
  <r>
    <x v="0"/>
    <s v="Qtr 1"/>
    <x v="1"/>
    <x v="17"/>
    <n v="237415.78868000009"/>
  </r>
  <r>
    <x v="0"/>
    <s v="Qtr 1"/>
    <x v="1"/>
    <x v="18"/>
    <n v="249477.42335500009"/>
  </r>
  <r>
    <x v="0"/>
    <s v="Qtr 1"/>
    <x v="1"/>
    <x v="19"/>
    <n v="167873.43354999996"/>
  </r>
  <r>
    <x v="0"/>
    <s v="Qtr 1"/>
    <x v="1"/>
    <x v="20"/>
    <n v="121512.27134500002"/>
  </r>
  <r>
    <x v="0"/>
    <s v="Qtr 1"/>
    <x v="1"/>
    <x v="21"/>
    <n v="123292.73702999993"/>
  </r>
  <r>
    <x v="0"/>
    <s v="Qtr 1"/>
    <x v="1"/>
    <x v="22"/>
    <n v="120924.57173999996"/>
  </r>
  <r>
    <x v="0"/>
    <s v="Qtr 1"/>
    <x v="1"/>
    <x v="23"/>
    <n v="122865.79603"/>
  </r>
  <r>
    <x v="0"/>
    <s v="Qtr 1"/>
    <x v="1"/>
    <x v="24"/>
    <n v="245600.88104499993"/>
  </r>
  <r>
    <x v="0"/>
    <s v="Qtr 1"/>
    <x v="1"/>
    <x v="25"/>
    <n v="245761.26039000007"/>
  </r>
  <r>
    <x v="0"/>
    <s v="Qtr 1"/>
    <x v="1"/>
    <x v="26"/>
    <n v="123537.83626999997"/>
  </r>
  <r>
    <x v="0"/>
    <s v="Qtr 1"/>
    <x v="1"/>
    <x v="27"/>
    <n v="124994.82041999996"/>
  </r>
  <r>
    <x v="0"/>
    <s v="Qtr 1"/>
    <x v="2"/>
    <x v="0"/>
    <n v="274634.31820500002"/>
  </r>
  <r>
    <x v="0"/>
    <s v="Qtr 1"/>
    <x v="2"/>
    <x v="1"/>
    <n v="269200.15210500004"/>
  </r>
  <r>
    <x v="0"/>
    <s v="Qtr 1"/>
    <x v="2"/>
    <x v="2"/>
    <n v="263959.02609"/>
  </r>
  <r>
    <x v="0"/>
    <s v="Qtr 1"/>
    <x v="2"/>
    <x v="3"/>
    <n v="564494.92900499981"/>
  </r>
  <r>
    <x v="0"/>
    <s v="Qtr 1"/>
    <x v="2"/>
    <x v="4"/>
    <n v="551697.27860499977"/>
  </r>
  <r>
    <x v="0"/>
    <s v="Qtr 1"/>
    <x v="2"/>
    <x v="5"/>
    <n v="263685.11742499995"/>
  </r>
  <r>
    <x v="0"/>
    <s v="Qtr 1"/>
    <x v="2"/>
    <x v="6"/>
    <n v="265810.37119999988"/>
  </r>
  <r>
    <x v="0"/>
    <s v="Qtr 1"/>
    <x v="2"/>
    <x v="7"/>
    <n v="266310.30961"/>
  </r>
  <r>
    <x v="0"/>
    <s v="Qtr 1"/>
    <x v="2"/>
    <x v="8"/>
    <n v="268349.05044499994"/>
  </r>
  <r>
    <x v="0"/>
    <s v="Qtr 1"/>
    <x v="2"/>
    <x v="9"/>
    <n v="282296.35625000013"/>
  </r>
  <r>
    <x v="0"/>
    <s v="Qtr 1"/>
    <x v="2"/>
    <x v="10"/>
    <n v="536763.84779999987"/>
  </r>
  <r>
    <x v="0"/>
    <s v="Qtr 1"/>
    <x v="2"/>
    <x v="11"/>
    <n v="552713.14909999911"/>
  </r>
  <r>
    <x v="0"/>
    <s v="Qtr 1"/>
    <x v="2"/>
    <x v="12"/>
    <n v="269916.27565999998"/>
  </r>
  <r>
    <x v="0"/>
    <s v="Qtr 1"/>
    <x v="2"/>
    <x v="13"/>
    <n v="275671.16944999999"/>
  </r>
  <r>
    <x v="0"/>
    <s v="Qtr 1"/>
    <x v="2"/>
    <x v="14"/>
    <n v="355637.23751799995"/>
  </r>
  <r>
    <x v="0"/>
    <s v="Qtr 1"/>
    <x v="2"/>
    <x v="15"/>
    <n v="348155.33739200013"/>
  </r>
  <r>
    <x v="0"/>
    <s v="Qtr 1"/>
    <x v="2"/>
    <x v="16"/>
    <n v="335387.37869699986"/>
  </r>
  <r>
    <x v="0"/>
    <s v="Qtr 1"/>
    <x v="2"/>
    <x v="17"/>
    <n v="723577.25167899986"/>
  </r>
  <r>
    <x v="0"/>
    <s v="Qtr 1"/>
    <x v="2"/>
    <x v="18"/>
    <n v="722034.42976900039"/>
  </r>
  <r>
    <x v="0"/>
    <s v="Qtr 1"/>
    <x v="2"/>
    <x v="19"/>
    <n v="361772.65845600015"/>
  </r>
  <r>
    <x v="0"/>
    <s v="Qtr 1"/>
    <x v="2"/>
    <x v="20"/>
    <n v="335074.95188799978"/>
  </r>
  <r>
    <x v="0"/>
    <s v="Qtr 1"/>
    <x v="2"/>
    <x v="21"/>
    <n v="346943.2303489999"/>
  </r>
  <r>
    <x v="0"/>
    <s v="Qtr 1"/>
    <x v="2"/>
    <x v="22"/>
    <n v="324671.01036099991"/>
  </r>
  <r>
    <x v="0"/>
    <s v="Qtr 1"/>
    <x v="2"/>
    <x v="23"/>
    <n v="345717.47162100015"/>
  </r>
  <r>
    <x v="0"/>
    <s v="Qtr 1"/>
    <x v="2"/>
    <x v="24"/>
    <n v="664798.0942740005"/>
  </r>
  <r>
    <x v="0"/>
    <s v="Qtr 1"/>
    <x v="2"/>
    <x v="25"/>
    <n v="676971.78443900007"/>
  </r>
  <r>
    <x v="0"/>
    <s v="Qtr 1"/>
    <x v="2"/>
    <x v="26"/>
    <n v="346040.57675599999"/>
  </r>
  <r>
    <x v="0"/>
    <s v="Qtr 1"/>
    <x v="2"/>
    <x v="27"/>
    <n v="342425.29829400004"/>
  </r>
  <r>
    <x v="0"/>
    <s v="Qtr 1"/>
    <x v="2"/>
    <x v="28"/>
    <n v="339231.00090600003"/>
  </r>
  <r>
    <x v="0"/>
    <s v="Qtr 1"/>
    <x v="2"/>
    <x v="29"/>
    <n v="341830.02611200017"/>
  </r>
  <r>
    <x v="0"/>
    <s v="Qtr 1"/>
    <x v="2"/>
    <x v="30"/>
    <n v="350858.42107899982"/>
  </r>
  <r>
    <x v="0"/>
    <s v="Qtr 2"/>
    <x v="3"/>
    <x v="0"/>
    <n v="466883.7050889997"/>
  </r>
  <r>
    <x v="0"/>
    <s v="Qtr 2"/>
    <x v="3"/>
    <x v="1"/>
    <n v="500597.73254399974"/>
  </r>
  <r>
    <x v="0"/>
    <s v="Qtr 2"/>
    <x v="3"/>
    <x v="2"/>
    <n v="240893.147509"/>
  </r>
  <r>
    <x v="0"/>
    <s v="Qtr 2"/>
    <x v="3"/>
    <x v="3"/>
    <n v="242024.05209599988"/>
  </r>
  <r>
    <x v="0"/>
    <s v="Qtr 2"/>
    <x v="3"/>
    <x v="4"/>
    <n v="321339.99132099986"/>
  </r>
  <r>
    <x v="0"/>
    <s v="Qtr 2"/>
    <x v="3"/>
    <x v="5"/>
    <n v="237894.92399999985"/>
  </r>
  <r>
    <x v="0"/>
    <s v="Qtr 2"/>
    <x v="3"/>
    <x v="6"/>
    <n v="386941.39894399996"/>
  </r>
  <r>
    <x v="0"/>
    <s v="Qtr 2"/>
    <x v="3"/>
    <x v="7"/>
    <n v="473585.26745499985"/>
  </r>
  <r>
    <x v="0"/>
    <s v="Qtr 2"/>
    <x v="3"/>
    <x v="8"/>
    <n v="599450.45952100004"/>
  </r>
  <r>
    <x v="0"/>
    <s v="Qtr 2"/>
    <x v="3"/>
    <x v="9"/>
    <n v="339901.41491299984"/>
  </r>
  <r>
    <x v="0"/>
    <s v="Qtr 2"/>
    <x v="3"/>
    <x v="10"/>
    <n v="243387.35620099993"/>
  </r>
  <r>
    <x v="0"/>
    <s v="Qtr 2"/>
    <x v="3"/>
    <x v="11"/>
    <n v="237217.51857499994"/>
  </r>
  <r>
    <x v="0"/>
    <s v="Qtr 2"/>
    <x v="3"/>
    <x v="12"/>
    <n v="233616.37720199997"/>
  </r>
  <r>
    <x v="0"/>
    <s v="Qtr 2"/>
    <x v="3"/>
    <x v="13"/>
    <n v="233590.810432"/>
  </r>
  <r>
    <x v="0"/>
    <s v="Qtr 2"/>
    <x v="3"/>
    <x v="14"/>
    <n v="487687.05157700001"/>
  </r>
  <r>
    <x v="0"/>
    <s v="Qtr 2"/>
    <x v="3"/>
    <x v="15"/>
    <n v="490523.8010659999"/>
  </r>
  <r>
    <x v="0"/>
    <s v="Qtr 2"/>
    <x v="3"/>
    <x v="16"/>
    <n v="245040.70474399993"/>
  </r>
  <r>
    <x v="0"/>
    <s v="Qtr 2"/>
    <x v="3"/>
    <x v="17"/>
    <n v="236203.58976199996"/>
  </r>
  <r>
    <x v="0"/>
    <s v="Qtr 2"/>
    <x v="3"/>
    <x v="18"/>
    <n v="242259.88712300002"/>
  </r>
  <r>
    <x v="0"/>
    <s v="Qtr 2"/>
    <x v="3"/>
    <x v="19"/>
    <n v="243921.71473200002"/>
  </r>
  <r>
    <x v="0"/>
    <s v="Qtr 2"/>
    <x v="3"/>
    <x v="20"/>
    <n v="236706.93355799996"/>
  </r>
  <r>
    <x v="0"/>
    <s v="Qtr 2"/>
    <x v="3"/>
    <x v="21"/>
    <n v="480645.81642899988"/>
  </r>
  <r>
    <x v="0"/>
    <s v="Qtr 2"/>
    <x v="3"/>
    <x v="22"/>
    <n v="509305.81979299989"/>
  </r>
  <r>
    <x v="0"/>
    <s v="Qtr 2"/>
    <x v="3"/>
    <x v="23"/>
    <n v="240818.64434099995"/>
  </r>
  <r>
    <x v="0"/>
    <s v="Qtr 2"/>
    <x v="3"/>
    <x v="24"/>
    <n v="297250.05498099973"/>
  </r>
  <r>
    <x v="0"/>
    <s v="Qtr 2"/>
    <x v="3"/>
    <x v="25"/>
    <n v="235049.265315"/>
  </r>
  <r>
    <x v="0"/>
    <s v="Qtr 2"/>
    <x v="3"/>
    <x v="26"/>
    <n v="228584.79393500002"/>
  </r>
  <r>
    <x v="0"/>
    <s v="Qtr 2"/>
    <x v="3"/>
    <x v="27"/>
    <n v="243114.37514999998"/>
  </r>
  <r>
    <x v="0"/>
    <s v="Qtr 2"/>
    <x v="3"/>
    <x v="28"/>
    <n v="489259.05025300011"/>
  </r>
  <r>
    <x v="0"/>
    <s v="Qtr 2"/>
    <x v="3"/>
    <x v="29"/>
    <n v="487518.51629999978"/>
  </r>
  <r>
    <x v="0"/>
    <s v="Qtr 2"/>
    <x v="4"/>
    <x v="0"/>
    <n v="580016.89168699959"/>
  </r>
  <r>
    <x v="0"/>
    <s v="Qtr 2"/>
    <x v="4"/>
    <x v="1"/>
    <n v="274784.23569999996"/>
  </r>
  <r>
    <x v="0"/>
    <s v="Qtr 2"/>
    <x v="4"/>
    <x v="2"/>
    <n v="270113.97998999991"/>
  </r>
  <r>
    <x v="0"/>
    <s v="Qtr 2"/>
    <x v="4"/>
    <x v="3"/>
    <n v="282649.51371500001"/>
  </r>
  <r>
    <x v="0"/>
    <s v="Qtr 2"/>
    <x v="4"/>
    <x v="4"/>
    <n v="283334.98851700011"/>
  </r>
  <r>
    <x v="0"/>
    <s v="Qtr 2"/>
    <x v="4"/>
    <x v="5"/>
    <n v="525966.07443299913"/>
  </r>
  <r>
    <x v="0"/>
    <s v="Qtr 2"/>
    <x v="4"/>
    <x v="6"/>
    <n v="537243.86247999896"/>
  </r>
  <r>
    <x v="0"/>
    <s v="Qtr 2"/>
    <x v="4"/>
    <x v="7"/>
    <n v="320330.65508499963"/>
  </r>
  <r>
    <x v="0"/>
    <s v="Qtr 2"/>
    <x v="4"/>
    <x v="8"/>
    <n v="280613.74371799972"/>
  </r>
  <r>
    <x v="0"/>
    <s v="Qtr 2"/>
    <x v="4"/>
    <x v="9"/>
    <n v="287454.76265300001"/>
  </r>
  <r>
    <x v="0"/>
    <s v="Qtr 2"/>
    <x v="4"/>
    <x v="10"/>
    <n v="276648.06471000006"/>
  </r>
  <r>
    <x v="0"/>
    <s v="Qtr 2"/>
    <x v="4"/>
    <x v="11"/>
    <n v="285440.07750999992"/>
  </r>
  <r>
    <x v="0"/>
    <s v="Qtr 2"/>
    <x v="4"/>
    <x v="12"/>
    <n v="567802.6579779993"/>
  </r>
  <r>
    <x v="0"/>
    <s v="Qtr 2"/>
    <x v="4"/>
    <x v="13"/>
    <n v="553826.40153899952"/>
  </r>
  <r>
    <x v="0"/>
    <s v="Qtr 2"/>
    <x v="4"/>
    <x v="14"/>
    <n v="277186.16936899989"/>
  </r>
  <r>
    <x v="0"/>
    <s v="Qtr 2"/>
    <x v="4"/>
    <x v="15"/>
    <n v="219424.001456"/>
  </r>
  <r>
    <x v="0"/>
    <s v="Qtr 2"/>
    <x v="4"/>
    <x v="16"/>
    <n v="216060.83325399994"/>
  </r>
  <r>
    <x v="0"/>
    <s v="Qtr 2"/>
    <x v="4"/>
    <x v="17"/>
    <n v="287403.89331999997"/>
  </r>
  <r>
    <x v="0"/>
    <s v="Qtr 2"/>
    <x v="4"/>
    <x v="18"/>
    <n v="220180.70899899999"/>
  </r>
  <r>
    <x v="0"/>
    <s v="Qtr 2"/>
    <x v="4"/>
    <x v="19"/>
    <n v="423554.67048900004"/>
  </r>
  <r>
    <x v="0"/>
    <s v="Qtr 2"/>
    <x v="4"/>
    <x v="20"/>
    <n v="427235.98666799953"/>
  </r>
  <r>
    <x v="0"/>
    <s v="Qtr 2"/>
    <x v="4"/>
    <x v="21"/>
    <n v="222819.08122199998"/>
  </r>
  <r>
    <x v="0"/>
    <s v="Qtr 2"/>
    <x v="4"/>
    <x v="22"/>
    <n v="207848.03695699995"/>
  </r>
  <r>
    <x v="0"/>
    <s v="Qtr 2"/>
    <x v="4"/>
    <x v="23"/>
    <n v="223329.43503499997"/>
  </r>
  <r>
    <x v="0"/>
    <s v="Qtr 2"/>
    <x v="4"/>
    <x v="24"/>
    <n v="210291.28418599998"/>
  </r>
  <r>
    <x v="0"/>
    <s v="Qtr 2"/>
    <x v="4"/>
    <x v="25"/>
    <n v="213618.93165499996"/>
  </r>
  <r>
    <x v="0"/>
    <s v="Qtr 2"/>
    <x v="4"/>
    <x v="26"/>
    <n v="420263.74550300022"/>
  </r>
  <r>
    <x v="0"/>
    <s v="Qtr 2"/>
    <x v="4"/>
    <x v="27"/>
    <n v="412536.63176700019"/>
  </r>
  <r>
    <x v="0"/>
    <s v="Qtr 2"/>
    <x v="4"/>
    <x v="28"/>
    <n v="394372.74700299988"/>
  </r>
  <r>
    <x v="0"/>
    <s v="Qtr 2"/>
    <x v="4"/>
    <x v="29"/>
    <n v="209869.73218899997"/>
  </r>
  <r>
    <x v="0"/>
    <s v="Qtr 2"/>
    <x v="4"/>
    <x v="30"/>
    <n v="217207.83883899992"/>
  </r>
  <r>
    <x v="0"/>
    <s v="Qtr 2"/>
    <x v="5"/>
    <x v="0"/>
    <n v="183663.48762500001"/>
  </r>
  <r>
    <x v="0"/>
    <s v="Qtr 2"/>
    <x v="5"/>
    <x v="1"/>
    <n v="182473.829921"/>
  </r>
  <r>
    <x v="0"/>
    <s v="Qtr 2"/>
    <x v="5"/>
    <x v="2"/>
    <n v="364872.82570700004"/>
  </r>
  <r>
    <x v="0"/>
    <s v="Qtr 2"/>
    <x v="5"/>
    <x v="3"/>
    <n v="363203.52740699996"/>
  </r>
  <r>
    <x v="0"/>
    <s v="Qtr 2"/>
    <x v="5"/>
    <x v="4"/>
    <n v="186257.42293599999"/>
  </r>
  <r>
    <x v="0"/>
    <s v="Qtr 2"/>
    <x v="5"/>
    <x v="5"/>
    <n v="188233.59965300001"/>
  </r>
  <r>
    <x v="0"/>
    <s v="Qtr 2"/>
    <x v="5"/>
    <x v="6"/>
    <n v="178125.64415000001"/>
  </r>
  <r>
    <x v="0"/>
    <s v="Qtr 2"/>
    <x v="5"/>
    <x v="7"/>
    <n v="189075.13619300013"/>
  </r>
  <r>
    <x v="0"/>
    <s v="Qtr 2"/>
    <x v="5"/>
    <x v="8"/>
    <n v="193673.60469999997"/>
  </r>
  <r>
    <x v="0"/>
    <s v="Qtr 2"/>
    <x v="5"/>
    <x v="9"/>
    <n v="471990.12491400051"/>
  </r>
  <r>
    <x v="0"/>
    <s v="Qtr 2"/>
    <x v="5"/>
    <x v="10"/>
    <n v="369419.67333600007"/>
  </r>
  <r>
    <x v="0"/>
    <s v="Qtr 2"/>
    <x v="5"/>
    <x v="11"/>
    <n v="177576.79078200008"/>
  </r>
  <r>
    <x v="0"/>
    <s v="Qtr 2"/>
    <x v="5"/>
    <x v="12"/>
    <n v="189360.02759999997"/>
  </r>
  <r>
    <x v="0"/>
    <s v="Qtr 2"/>
    <x v="5"/>
    <x v="13"/>
    <n v="185941.423668"/>
  </r>
  <r>
    <x v="0"/>
    <s v="Qtr 2"/>
    <x v="5"/>
    <x v="14"/>
    <n v="186774.00960000002"/>
  </r>
  <r>
    <x v="0"/>
    <s v="Qtr 2"/>
    <x v="5"/>
    <x v="15"/>
    <n v="187264.43550000002"/>
  </r>
  <r>
    <x v="0"/>
    <s v="Qtr 2"/>
    <x v="5"/>
    <x v="16"/>
    <n v="356412.40434999997"/>
  </r>
  <r>
    <x v="0"/>
    <s v="Qtr 2"/>
    <x v="5"/>
    <x v="17"/>
    <n v="361887.56430000009"/>
  </r>
  <r>
    <x v="0"/>
    <s v="Qtr 2"/>
    <x v="5"/>
    <x v="18"/>
    <n v="185010.20950000003"/>
  </r>
  <r>
    <x v="0"/>
    <s v="Qtr 2"/>
    <x v="5"/>
    <x v="19"/>
    <n v="176654.51639999993"/>
  </r>
  <r>
    <x v="0"/>
    <s v="Qtr 2"/>
    <x v="5"/>
    <x v="20"/>
    <n v="183103.19435000003"/>
  </r>
  <r>
    <x v="0"/>
    <s v="Qtr 2"/>
    <x v="5"/>
    <x v="21"/>
    <n v="239848.75265000036"/>
  </r>
  <r>
    <x v="0"/>
    <s v="Qtr 2"/>
    <x v="5"/>
    <x v="22"/>
    <n v="190216.6017"/>
  </r>
  <r>
    <x v="0"/>
    <s v="Qtr 2"/>
    <x v="5"/>
    <x v="23"/>
    <n v="367593.96460000012"/>
  </r>
  <r>
    <x v="0"/>
    <s v="Qtr 2"/>
    <x v="5"/>
    <x v="24"/>
    <n v="363298.10230000009"/>
  </r>
  <r>
    <x v="0"/>
    <s v="Qtr 2"/>
    <x v="5"/>
    <x v="25"/>
    <n v="184838.63434999995"/>
  </r>
  <r>
    <x v="0"/>
    <s v="Qtr 2"/>
    <x v="5"/>
    <x v="26"/>
    <n v="186160.26124999998"/>
  </r>
  <r>
    <x v="0"/>
    <s v="Qtr 2"/>
    <x v="5"/>
    <x v="27"/>
    <n v="185771.35415000009"/>
  </r>
  <r>
    <x v="0"/>
    <s v="Qtr 2"/>
    <x v="5"/>
    <x v="28"/>
    <n v="186054.11675000002"/>
  </r>
  <r>
    <x v="0"/>
    <s v="Qtr 2"/>
    <x v="5"/>
    <x v="29"/>
    <n v="175931.02569999997"/>
  </r>
  <r>
    <x v="0"/>
    <s v="Qtr 3"/>
    <x v="6"/>
    <x v="0"/>
    <n v="337269.63386999996"/>
  </r>
  <r>
    <x v="0"/>
    <s v="Qtr 3"/>
    <x v="6"/>
    <x v="1"/>
    <n v="359847.06916499994"/>
  </r>
  <r>
    <x v="0"/>
    <s v="Qtr 3"/>
    <x v="6"/>
    <x v="2"/>
    <n v="167801.72072999988"/>
  </r>
  <r>
    <x v="0"/>
    <s v="Qtr 3"/>
    <x v="6"/>
    <x v="3"/>
    <n v="238922.06693499992"/>
  </r>
  <r>
    <x v="0"/>
    <s v="Qtr 3"/>
    <x v="6"/>
    <x v="4"/>
    <n v="169891.55734499986"/>
  </r>
  <r>
    <x v="0"/>
    <s v="Qtr 3"/>
    <x v="6"/>
    <x v="5"/>
    <n v="172107.94553999996"/>
  </r>
  <r>
    <x v="0"/>
    <s v="Qtr 3"/>
    <x v="6"/>
    <x v="6"/>
    <n v="166150.94379999989"/>
  </r>
  <r>
    <x v="0"/>
    <s v="Qtr 3"/>
    <x v="6"/>
    <x v="7"/>
    <n v="343057.04792999983"/>
  </r>
  <r>
    <x v="0"/>
    <s v="Qtr 3"/>
    <x v="6"/>
    <x v="8"/>
    <n v="347494.20448999974"/>
  </r>
  <r>
    <x v="0"/>
    <s v="Qtr 3"/>
    <x v="6"/>
    <x v="9"/>
    <n v="178533.45733999991"/>
  </r>
  <r>
    <x v="0"/>
    <s v="Qtr 3"/>
    <x v="6"/>
    <x v="10"/>
    <n v="175442.1343249999"/>
  </r>
  <r>
    <x v="0"/>
    <s v="Qtr 3"/>
    <x v="6"/>
    <x v="11"/>
    <n v="167342.60650999987"/>
  </r>
  <r>
    <x v="0"/>
    <s v="Qtr 3"/>
    <x v="6"/>
    <x v="12"/>
    <n v="176120.56006999995"/>
  </r>
  <r>
    <x v="0"/>
    <s v="Qtr 3"/>
    <x v="6"/>
    <x v="13"/>
    <n v="207288.00724499996"/>
  </r>
  <r>
    <x v="0"/>
    <s v="Qtr 3"/>
    <x v="6"/>
    <x v="14"/>
    <n v="336157.32655499986"/>
  </r>
  <r>
    <x v="0"/>
    <s v="Qtr 3"/>
    <x v="6"/>
    <x v="15"/>
    <n v="334510.12580999994"/>
  </r>
  <r>
    <x v="0"/>
    <s v="Qtr 3"/>
    <x v="6"/>
    <x v="16"/>
    <n v="177988.48006499995"/>
  </r>
  <r>
    <x v="0"/>
    <s v="Qtr 3"/>
    <x v="6"/>
    <x v="17"/>
    <n v="173717.57372999995"/>
  </r>
  <r>
    <x v="0"/>
    <s v="Qtr 3"/>
    <x v="6"/>
    <x v="18"/>
    <n v="170474.20212999987"/>
  </r>
  <r>
    <x v="0"/>
    <s v="Qtr 3"/>
    <x v="6"/>
    <x v="19"/>
    <n v="173014.40830499996"/>
  </r>
  <r>
    <x v="0"/>
    <s v="Qtr 3"/>
    <x v="6"/>
    <x v="20"/>
    <n v="174425.33611999993"/>
  </r>
  <r>
    <x v="0"/>
    <s v="Qtr 3"/>
    <x v="6"/>
    <x v="21"/>
    <n v="346234.04168500006"/>
  </r>
  <r>
    <x v="0"/>
    <s v="Qtr 3"/>
    <x v="6"/>
    <x v="22"/>
    <n v="342487.97515000001"/>
  </r>
  <r>
    <x v="0"/>
    <s v="Qtr 3"/>
    <x v="6"/>
    <x v="23"/>
    <n v="174972.19045499986"/>
  </r>
  <r>
    <x v="0"/>
    <s v="Qtr 3"/>
    <x v="6"/>
    <x v="24"/>
    <n v="171959.8217599999"/>
  </r>
  <r>
    <x v="0"/>
    <s v="Qtr 3"/>
    <x v="6"/>
    <x v="25"/>
    <n v="167739.6098049999"/>
  </r>
  <r>
    <x v="0"/>
    <s v="Qtr 3"/>
    <x v="6"/>
    <x v="26"/>
    <n v="174994.97064499991"/>
  </r>
  <r>
    <x v="0"/>
    <s v="Qtr 3"/>
    <x v="6"/>
    <x v="27"/>
    <n v="173016.45461500002"/>
  </r>
  <r>
    <x v="0"/>
    <s v="Qtr 3"/>
    <x v="6"/>
    <x v="28"/>
    <n v="351825.33480499976"/>
  </r>
  <r>
    <x v="0"/>
    <s v="Qtr 3"/>
    <x v="6"/>
    <x v="29"/>
    <n v="344044.75151499966"/>
  </r>
  <r>
    <x v="0"/>
    <s v="Qtr 3"/>
    <x v="6"/>
    <x v="30"/>
    <n v="186466.65217499997"/>
  </r>
  <r>
    <x v="0"/>
    <s v="Qtr 3"/>
    <x v="7"/>
    <x v="0"/>
    <n v="158830.75659999994"/>
  </r>
  <r>
    <x v="0"/>
    <s v="Qtr 3"/>
    <x v="7"/>
    <x v="1"/>
    <n v="156866.6431349999"/>
  </r>
  <r>
    <x v="0"/>
    <s v="Qtr 3"/>
    <x v="7"/>
    <x v="2"/>
    <n v="155319.09711999987"/>
  </r>
  <r>
    <x v="0"/>
    <s v="Qtr 3"/>
    <x v="7"/>
    <x v="3"/>
    <n v="152772.16805499996"/>
  </r>
  <r>
    <x v="0"/>
    <s v="Qtr 3"/>
    <x v="7"/>
    <x v="4"/>
    <n v="325394.05913999991"/>
  </r>
  <r>
    <x v="0"/>
    <s v="Qtr 3"/>
    <x v="7"/>
    <x v="5"/>
    <n v="321951.66772499989"/>
  </r>
  <r>
    <x v="0"/>
    <s v="Qtr 3"/>
    <x v="7"/>
    <x v="6"/>
    <n v="159603.99538999991"/>
  </r>
  <r>
    <x v="0"/>
    <s v="Qtr 3"/>
    <x v="7"/>
    <x v="7"/>
    <n v="159673.25903499994"/>
  </r>
  <r>
    <x v="0"/>
    <s v="Qtr 3"/>
    <x v="7"/>
    <x v="8"/>
    <n v="163282.75697999992"/>
  </r>
  <r>
    <x v="0"/>
    <s v="Qtr 3"/>
    <x v="7"/>
    <x v="9"/>
    <n v="166600.2420749999"/>
  </r>
  <r>
    <x v="0"/>
    <s v="Qtr 3"/>
    <x v="7"/>
    <x v="10"/>
    <n v="159009.15680999996"/>
  </r>
  <r>
    <x v="0"/>
    <s v="Qtr 3"/>
    <x v="7"/>
    <x v="11"/>
    <n v="325743.04584499984"/>
  </r>
  <r>
    <x v="0"/>
    <s v="Qtr 3"/>
    <x v="7"/>
    <x v="12"/>
    <n v="316525.48352999985"/>
  </r>
  <r>
    <x v="0"/>
    <s v="Qtr 3"/>
    <x v="7"/>
    <x v="13"/>
    <n v="157095.30207999985"/>
  </r>
  <r>
    <x v="0"/>
    <s v="Qtr 3"/>
    <x v="7"/>
    <x v="14"/>
    <n v="217712.66087999998"/>
  </r>
  <r>
    <x v="0"/>
    <s v="Qtr 3"/>
    <x v="7"/>
    <x v="15"/>
    <n v="156893.02490499988"/>
  </r>
  <r>
    <x v="0"/>
    <s v="Qtr 3"/>
    <x v="7"/>
    <x v="16"/>
    <n v="163167.98867499985"/>
  </r>
  <r>
    <x v="0"/>
    <s v="Qtr 3"/>
    <x v="7"/>
    <x v="17"/>
    <n v="153372.38731000002"/>
  </r>
  <r>
    <x v="0"/>
    <s v="Qtr 3"/>
    <x v="7"/>
    <x v="18"/>
    <n v="326126.66093499982"/>
  </r>
  <r>
    <x v="0"/>
    <s v="Qtr 3"/>
    <x v="7"/>
    <x v="19"/>
    <n v="319369.7042699997"/>
  </r>
  <r>
    <x v="0"/>
    <s v="Qtr 3"/>
    <x v="7"/>
    <x v="20"/>
    <n v="160498.02053499987"/>
  </r>
  <r>
    <x v="0"/>
    <s v="Qtr 3"/>
    <x v="7"/>
    <x v="21"/>
    <n v="155007.80945499992"/>
  </r>
  <r>
    <x v="0"/>
    <s v="Qtr 3"/>
    <x v="7"/>
    <x v="22"/>
    <n v="157210.19842499986"/>
  </r>
  <r>
    <x v="0"/>
    <s v="Qtr 3"/>
    <x v="7"/>
    <x v="23"/>
    <n v="161950.99149499991"/>
  </r>
  <r>
    <x v="0"/>
    <s v="Qtr 3"/>
    <x v="7"/>
    <x v="24"/>
    <n v="160389.86853999991"/>
  </r>
  <r>
    <x v="0"/>
    <s v="Qtr 3"/>
    <x v="7"/>
    <x v="25"/>
    <n v="308356.40860999998"/>
  </r>
  <r>
    <x v="0"/>
    <s v="Qtr 3"/>
    <x v="7"/>
    <x v="26"/>
    <n v="306500.86614"/>
  </r>
  <r>
    <x v="0"/>
    <s v="Qtr 3"/>
    <x v="7"/>
    <x v="27"/>
    <n v="182129.56675499989"/>
  </r>
  <r>
    <x v="0"/>
    <s v="Qtr 3"/>
    <x v="7"/>
    <x v="28"/>
    <n v="153704.95730999994"/>
  </r>
  <r>
    <x v="0"/>
    <s v="Qtr 3"/>
    <x v="7"/>
    <x v="29"/>
    <n v="160710.67763999986"/>
  </r>
  <r>
    <x v="0"/>
    <s v="Qtr 3"/>
    <x v="7"/>
    <x v="30"/>
    <n v="151208.65846999991"/>
  </r>
  <r>
    <x v="0"/>
    <s v="Qtr 3"/>
    <x v="8"/>
    <x v="0"/>
    <n v="383798.02487900015"/>
  </r>
  <r>
    <x v="0"/>
    <s v="Qtr 3"/>
    <x v="8"/>
    <x v="1"/>
    <n v="782037.77976799873"/>
  </r>
  <r>
    <x v="0"/>
    <s v="Qtr 3"/>
    <x v="8"/>
    <x v="2"/>
    <n v="806952.40481599851"/>
  </r>
  <r>
    <x v="0"/>
    <s v="Qtr 3"/>
    <x v="8"/>
    <x v="3"/>
    <n v="577209.20963499672"/>
  </r>
  <r>
    <x v="0"/>
    <s v="Qtr 3"/>
    <x v="8"/>
    <x v="4"/>
    <n v="370160.09386000014"/>
  </r>
  <r>
    <x v="0"/>
    <s v="Qtr 3"/>
    <x v="8"/>
    <x v="5"/>
    <n v="409039.59929200041"/>
  </r>
  <r>
    <x v="0"/>
    <s v="Qtr 3"/>
    <x v="8"/>
    <x v="6"/>
    <n v="385753.05449800007"/>
  </r>
  <r>
    <x v="0"/>
    <s v="Qtr 3"/>
    <x v="8"/>
    <x v="7"/>
    <n v="400237.56505400047"/>
  </r>
  <r>
    <x v="0"/>
    <s v="Qtr 3"/>
    <x v="8"/>
    <x v="8"/>
    <n v="773022.21025199885"/>
  </r>
  <r>
    <x v="0"/>
    <s v="Qtr 3"/>
    <x v="8"/>
    <x v="9"/>
    <n v="758895.04487599898"/>
  </r>
  <r>
    <x v="0"/>
    <s v="Qtr 3"/>
    <x v="8"/>
    <x v="10"/>
    <n v="400065.53812900011"/>
  </r>
  <r>
    <x v="0"/>
    <s v="Qtr 3"/>
    <x v="8"/>
    <x v="11"/>
    <n v="412269.07077699999"/>
  </r>
  <r>
    <x v="0"/>
    <s v="Qtr 3"/>
    <x v="8"/>
    <x v="12"/>
    <n v="379289.6175070001"/>
  </r>
  <r>
    <x v="0"/>
    <s v="Qtr 3"/>
    <x v="8"/>
    <x v="13"/>
    <n v="392560.76701600029"/>
  </r>
  <r>
    <x v="0"/>
    <s v="Qtr 3"/>
    <x v="8"/>
    <x v="14"/>
    <n v="402933.61848499998"/>
  </r>
  <r>
    <x v="0"/>
    <s v="Qtr 3"/>
    <x v="8"/>
    <x v="15"/>
    <n v="604915.33750399982"/>
  </r>
  <r>
    <x v="0"/>
    <s v="Qtr 3"/>
    <x v="8"/>
    <x v="16"/>
    <n v="591015.38741000032"/>
  </r>
  <r>
    <x v="0"/>
    <s v="Qtr 3"/>
    <x v="8"/>
    <x v="17"/>
    <n v="304539.39025400003"/>
  </r>
  <r>
    <x v="0"/>
    <s v="Qtr 3"/>
    <x v="8"/>
    <x v="18"/>
    <n v="303340.36384800007"/>
  </r>
  <r>
    <x v="0"/>
    <s v="Qtr 3"/>
    <x v="8"/>
    <x v="19"/>
    <n v="313244.1331149998"/>
  </r>
  <r>
    <x v="0"/>
    <s v="Qtr 3"/>
    <x v="8"/>
    <x v="20"/>
    <n v="312079.69252400007"/>
  </r>
  <r>
    <x v="0"/>
    <s v="Qtr 3"/>
    <x v="8"/>
    <x v="21"/>
    <n v="318235.24680099986"/>
  </r>
  <r>
    <x v="0"/>
    <s v="Qtr 3"/>
    <x v="8"/>
    <x v="22"/>
    <n v="621212.6103160003"/>
  </r>
  <r>
    <x v="0"/>
    <s v="Qtr 3"/>
    <x v="8"/>
    <x v="23"/>
    <n v="608820.45479999972"/>
  </r>
  <r>
    <x v="0"/>
    <s v="Qtr 3"/>
    <x v="8"/>
    <x v="24"/>
    <n v="305518.43944900006"/>
  </r>
  <r>
    <x v="0"/>
    <s v="Qtr 3"/>
    <x v="8"/>
    <x v="25"/>
    <n v="301920.10122299998"/>
  </r>
  <r>
    <x v="0"/>
    <s v="Qtr 3"/>
    <x v="8"/>
    <x v="26"/>
    <n v="307652.15058199974"/>
  </r>
  <r>
    <x v="0"/>
    <s v="Qtr 3"/>
    <x v="8"/>
    <x v="27"/>
    <n v="313809.00272400002"/>
  </r>
  <r>
    <x v="0"/>
    <s v="Qtr 3"/>
    <x v="8"/>
    <x v="28"/>
    <n v="427212.23983299965"/>
  </r>
  <r>
    <x v="0"/>
    <s v="Qtr 3"/>
    <x v="8"/>
    <x v="29"/>
    <n v="612333.28860999993"/>
  </r>
  <r>
    <x v="0"/>
    <s v="Qtr 4"/>
    <x v="9"/>
    <x v="0"/>
    <n v="1026845.6820119979"/>
  </r>
  <r>
    <x v="0"/>
    <s v="Qtr 4"/>
    <x v="9"/>
    <x v="1"/>
    <n v="513970.35593099945"/>
  </r>
  <r>
    <x v="0"/>
    <s v="Qtr 4"/>
    <x v="9"/>
    <x v="2"/>
    <n v="593368.30563399917"/>
  </r>
  <r>
    <x v="0"/>
    <s v="Qtr 4"/>
    <x v="9"/>
    <x v="3"/>
    <n v="359049.90328299964"/>
  </r>
  <r>
    <x v="0"/>
    <s v="Qtr 4"/>
    <x v="9"/>
    <x v="4"/>
    <n v="479191.85758899874"/>
  </r>
  <r>
    <x v="0"/>
    <s v="Qtr 4"/>
    <x v="9"/>
    <x v="5"/>
    <n v="382708.75843899965"/>
  </r>
  <r>
    <x v="0"/>
    <s v="Qtr 4"/>
    <x v="9"/>
    <x v="6"/>
    <n v="754914.09644999728"/>
  </r>
  <r>
    <x v="0"/>
    <s v="Qtr 4"/>
    <x v="9"/>
    <x v="7"/>
    <n v="714150.02506499703"/>
  </r>
  <r>
    <x v="0"/>
    <s v="Qtr 4"/>
    <x v="9"/>
    <x v="8"/>
    <n v="514035.5546059999"/>
  </r>
  <r>
    <x v="0"/>
    <s v="Qtr 4"/>
    <x v="9"/>
    <x v="9"/>
    <n v="365948.2456799997"/>
  </r>
  <r>
    <x v="0"/>
    <s v="Qtr 4"/>
    <x v="9"/>
    <x v="10"/>
    <n v="301757.10632800008"/>
  </r>
  <r>
    <x v="0"/>
    <s v="Qtr 4"/>
    <x v="9"/>
    <x v="11"/>
    <n v="304094.64996999991"/>
  </r>
  <r>
    <x v="0"/>
    <s v="Qtr 4"/>
    <x v="9"/>
    <x v="12"/>
    <n v="297093.73361800006"/>
  </r>
  <r>
    <x v="0"/>
    <s v="Qtr 4"/>
    <x v="9"/>
    <x v="13"/>
    <n v="570725.36753999884"/>
  </r>
  <r>
    <x v="0"/>
    <s v="Qtr 4"/>
    <x v="9"/>
    <x v="14"/>
    <n v="567126.51328999933"/>
  </r>
  <r>
    <x v="0"/>
    <s v="Qtr 4"/>
    <x v="9"/>
    <x v="15"/>
    <n v="285701.68860000011"/>
  </r>
  <r>
    <x v="0"/>
    <s v="Qtr 4"/>
    <x v="9"/>
    <x v="16"/>
    <n v="296703.81473999994"/>
  </r>
  <r>
    <x v="0"/>
    <s v="Qtr 4"/>
    <x v="9"/>
    <x v="17"/>
    <n v="285836.30954999989"/>
  </r>
  <r>
    <x v="0"/>
    <s v="Qtr 4"/>
    <x v="9"/>
    <x v="18"/>
    <n v="291510.28041000001"/>
  </r>
  <r>
    <x v="0"/>
    <s v="Qtr 4"/>
    <x v="9"/>
    <x v="19"/>
    <n v="280818.51543999999"/>
  </r>
  <r>
    <x v="0"/>
    <s v="Qtr 4"/>
    <x v="9"/>
    <x v="20"/>
    <n v="581839.76798999892"/>
  </r>
  <r>
    <x v="0"/>
    <s v="Qtr 4"/>
    <x v="9"/>
    <x v="21"/>
    <n v="590913.70045999938"/>
  </r>
  <r>
    <x v="0"/>
    <s v="Qtr 4"/>
    <x v="9"/>
    <x v="22"/>
    <n v="284010.23714000016"/>
  </r>
  <r>
    <x v="0"/>
    <s v="Qtr 4"/>
    <x v="9"/>
    <x v="23"/>
    <n v="273375.81257000001"/>
  </r>
  <r>
    <x v="0"/>
    <s v="Qtr 4"/>
    <x v="9"/>
    <x v="24"/>
    <n v="292007.71724000009"/>
  </r>
  <r>
    <x v="0"/>
    <s v="Qtr 4"/>
    <x v="9"/>
    <x v="25"/>
    <n v="296708.29521000024"/>
  </r>
  <r>
    <x v="0"/>
    <s v="Qtr 4"/>
    <x v="9"/>
    <x v="26"/>
    <n v="295971.66480000026"/>
  </r>
  <r>
    <x v="0"/>
    <s v="Qtr 4"/>
    <x v="9"/>
    <x v="27"/>
    <n v="587904.65987999947"/>
  </r>
  <r>
    <x v="0"/>
    <s v="Qtr 4"/>
    <x v="9"/>
    <x v="28"/>
    <n v="596457.16289999895"/>
  </r>
  <r>
    <x v="0"/>
    <s v="Qtr 4"/>
    <x v="9"/>
    <x v="29"/>
    <n v="290263.03736000007"/>
  </r>
  <r>
    <x v="0"/>
    <s v="Qtr 4"/>
    <x v="9"/>
    <x v="30"/>
    <n v="284572.9693099999"/>
  </r>
  <r>
    <x v="0"/>
    <s v="Qtr 4"/>
    <x v="10"/>
    <x v="0"/>
    <n v="339757.60484000004"/>
  </r>
  <r>
    <x v="0"/>
    <s v="Qtr 4"/>
    <x v="10"/>
    <x v="1"/>
    <n v="242112.3082"/>
  </r>
  <r>
    <x v="0"/>
    <s v="Qtr 4"/>
    <x v="10"/>
    <x v="2"/>
    <n v="246670.63209999996"/>
  </r>
  <r>
    <x v="0"/>
    <s v="Qtr 4"/>
    <x v="10"/>
    <x v="3"/>
    <n v="494436.00138999982"/>
  </r>
  <r>
    <x v="0"/>
    <s v="Qtr 4"/>
    <x v="10"/>
    <x v="4"/>
    <n v="495166.89264000021"/>
  </r>
  <r>
    <x v="0"/>
    <s v="Qtr 4"/>
    <x v="10"/>
    <x v="5"/>
    <n v="243938.24426999997"/>
  </r>
  <r>
    <x v="0"/>
    <s v="Qtr 4"/>
    <x v="10"/>
    <x v="6"/>
    <n v="249772.56620999999"/>
  </r>
  <r>
    <x v="0"/>
    <s v="Qtr 4"/>
    <x v="10"/>
    <x v="7"/>
    <n v="242854.95959999994"/>
  </r>
  <r>
    <x v="0"/>
    <s v="Qtr 4"/>
    <x v="10"/>
    <x v="8"/>
    <n v="258697.37915000005"/>
  </r>
  <r>
    <x v="0"/>
    <s v="Qtr 4"/>
    <x v="10"/>
    <x v="9"/>
    <n v="246859.23484999995"/>
  </r>
  <r>
    <x v="0"/>
    <s v="Qtr 4"/>
    <x v="10"/>
    <x v="10"/>
    <n v="796387.40955000045"/>
  </r>
  <r>
    <x v="0"/>
    <s v="Qtr 4"/>
    <x v="10"/>
    <x v="11"/>
    <n v="505200.84100000007"/>
  </r>
  <r>
    <x v="0"/>
    <s v="Qtr 4"/>
    <x v="10"/>
    <x v="12"/>
    <n v="251505.85574999987"/>
  </r>
  <r>
    <x v="0"/>
    <s v="Qtr 4"/>
    <x v="10"/>
    <x v="13"/>
    <n v="252186.80710000001"/>
  </r>
  <r>
    <x v="0"/>
    <s v="Qtr 4"/>
    <x v="10"/>
    <x v="14"/>
    <n v="252800.78089999981"/>
  </r>
  <r>
    <x v="0"/>
    <s v="Qtr 4"/>
    <x v="10"/>
    <x v="15"/>
    <n v="251922.30389999994"/>
  </r>
  <r>
    <x v="0"/>
    <s v="Qtr 4"/>
    <x v="10"/>
    <x v="16"/>
    <n v="249120.7562"/>
  </r>
  <r>
    <x v="0"/>
    <s v="Qtr 4"/>
    <x v="10"/>
    <x v="17"/>
    <n v="503084.01165000006"/>
  </r>
  <r>
    <x v="0"/>
    <s v="Qtr 4"/>
    <x v="10"/>
    <x v="18"/>
    <n v="505894.38239999971"/>
  </r>
  <r>
    <x v="0"/>
    <s v="Qtr 4"/>
    <x v="10"/>
    <x v="19"/>
    <n v="245412.05195000005"/>
  </r>
  <r>
    <x v="0"/>
    <s v="Qtr 4"/>
    <x v="10"/>
    <x v="20"/>
    <n v="238193.02710000001"/>
  </r>
  <r>
    <x v="0"/>
    <s v="Qtr 4"/>
    <x v="10"/>
    <x v="21"/>
    <n v="247744.93484999996"/>
  </r>
  <r>
    <x v="0"/>
    <s v="Qtr 4"/>
    <x v="10"/>
    <x v="22"/>
    <n v="341594.38590000005"/>
  </r>
  <r>
    <x v="0"/>
    <s v="Qtr 4"/>
    <x v="10"/>
    <x v="23"/>
    <n v="241224.42484999992"/>
  </r>
  <r>
    <x v="0"/>
    <s v="Qtr 4"/>
    <x v="10"/>
    <x v="24"/>
    <n v="490640.95334999985"/>
  </r>
  <r>
    <x v="0"/>
    <s v="Qtr 4"/>
    <x v="10"/>
    <x v="25"/>
    <n v="483461.45759999985"/>
  </r>
  <r>
    <x v="0"/>
    <s v="Qtr 4"/>
    <x v="10"/>
    <x v="26"/>
    <n v="331255.29848999938"/>
  </r>
  <r>
    <x v="0"/>
    <s v="Qtr 4"/>
    <x v="10"/>
    <x v="27"/>
    <n v="239559.51866999996"/>
  </r>
  <r>
    <x v="0"/>
    <s v="Qtr 4"/>
    <x v="10"/>
    <x v="28"/>
    <n v="243538.73729000002"/>
  </r>
  <r>
    <x v="0"/>
    <s v="Qtr 4"/>
    <x v="10"/>
    <x v="29"/>
    <n v="240712.72276999993"/>
  </r>
  <r>
    <x v="0"/>
    <s v="Qtr 4"/>
    <x v="11"/>
    <x v="0"/>
    <n v="576431.56548999995"/>
  </r>
  <r>
    <x v="0"/>
    <s v="Qtr 4"/>
    <x v="11"/>
    <x v="1"/>
    <n v="918086.78508999851"/>
  </r>
  <r>
    <x v="0"/>
    <s v="Qtr 4"/>
    <x v="11"/>
    <x v="2"/>
    <n v="925895.39121999871"/>
  </r>
  <r>
    <x v="0"/>
    <s v="Qtr 4"/>
    <x v="11"/>
    <x v="3"/>
    <n v="458228.92166999966"/>
  </r>
  <r>
    <x v="0"/>
    <s v="Qtr 4"/>
    <x v="11"/>
    <x v="4"/>
    <n v="459222.49595999916"/>
  </r>
  <r>
    <x v="0"/>
    <s v="Qtr 4"/>
    <x v="11"/>
    <x v="5"/>
    <n v="434674.79680999956"/>
  </r>
  <r>
    <x v="0"/>
    <s v="Qtr 4"/>
    <x v="11"/>
    <x v="6"/>
    <n v="457748.36841999972"/>
  </r>
  <r>
    <x v="0"/>
    <s v="Qtr 4"/>
    <x v="11"/>
    <x v="7"/>
    <n v="555811.21842999978"/>
  </r>
  <r>
    <x v="0"/>
    <s v="Qtr 4"/>
    <x v="11"/>
    <x v="8"/>
    <n v="878813.24181999941"/>
  </r>
  <r>
    <x v="0"/>
    <s v="Qtr 4"/>
    <x v="11"/>
    <x v="9"/>
    <n v="907579.47293999919"/>
  </r>
  <r>
    <x v="0"/>
    <s v="Qtr 4"/>
    <x v="11"/>
    <x v="10"/>
    <n v="462816.42202999903"/>
  </r>
  <r>
    <x v="0"/>
    <s v="Qtr 4"/>
    <x v="11"/>
    <x v="11"/>
    <n v="450083.51872999931"/>
  </r>
  <r>
    <x v="0"/>
    <s v="Qtr 4"/>
    <x v="11"/>
    <x v="12"/>
    <n v="451861.17645999941"/>
  </r>
  <r>
    <x v="0"/>
    <s v="Qtr 4"/>
    <x v="11"/>
    <x v="13"/>
    <n v="444924.40255999938"/>
  </r>
  <r>
    <x v="0"/>
    <s v="Qtr 4"/>
    <x v="11"/>
    <x v="14"/>
    <n v="449684.4659799994"/>
  </r>
  <r>
    <x v="0"/>
    <s v="Qtr 4"/>
    <x v="11"/>
    <x v="15"/>
    <n v="917293.50740999961"/>
  </r>
  <r>
    <x v="0"/>
    <s v="Qtr 4"/>
    <x v="11"/>
    <x v="16"/>
    <n v="898520.50817999954"/>
  </r>
  <r>
    <x v="0"/>
    <s v="Qtr 4"/>
    <x v="11"/>
    <x v="17"/>
    <n v="458157.25326999923"/>
  </r>
  <r>
    <x v="0"/>
    <s v="Qtr 4"/>
    <x v="11"/>
    <x v="18"/>
    <n v="476909.83923999954"/>
  </r>
  <r>
    <x v="0"/>
    <s v="Qtr 4"/>
    <x v="11"/>
    <x v="19"/>
    <n v="694668.33100500086"/>
  </r>
  <r>
    <x v="0"/>
    <s v="Qtr 4"/>
    <x v="11"/>
    <x v="20"/>
    <n v="651435.1992750013"/>
  </r>
  <r>
    <x v="0"/>
    <s v="Qtr 4"/>
    <x v="11"/>
    <x v="21"/>
    <n v="648398.65675500128"/>
  </r>
  <r>
    <x v="0"/>
    <s v="Qtr 4"/>
    <x v="11"/>
    <x v="22"/>
    <n v="1473023.8540050057"/>
  </r>
  <r>
    <x v="0"/>
    <s v="Qtr 4"/>
    <x v="11"/>
    <x v="23"/>
    <n v="1356290.4416250035"/>
  </r>
  <r>
    <x v="0"/>
    <s v="Qtr 4"/>
    <x v="11"/>
    <x v="24"/>
    <n v="1468435.5697000008"/>
  </r>
  <r>
    <x v="0"/>
    <s v="Qtr 4"/>
    <x v="11"/>
    <x v="25"/>
    <n v="889516.6863749997"/>
  </r>
  <r>
    <x v="0"/>
    <s v="Qtr 4"/>
    <x v="11"/>
    <x v="26"/>
    <n v="676532.11227500113"/>
  </r>
  <r>
    <x v="0"/>
    <s v="Qtr 4"/>
    <x v="11"/>
    <x v="27"/>
    <n v="634309.73235000076"/>
  </r>
  <r>
    <x v="0"/>
    <s v="Qtr 4"/>
    <x v="11"/>
    <x v="28"/>
    <n v="642636.50582500047"/>
  </r>
  <r>
    <x v="0"/>
    <s v="Qtr 4"/>
    <x v="11"/>
    <x v="29"/>
    <n v="1495579.8033750015"/>
  </r>
  <r>
    <x v="0"/>
    <s v="Qtr 4"/>
    <x v="11"/>
    <x v="30"/>
    <n v="1360978.1868250049"/>
  </r>
  <r>
    <x v="1"/>
    <s v="Qtr 1"/>
    <x v="0"/>
    <x v="0"/>
    <n v="428678.16951200011"/>
  </r>
  <r>
    <x v="1"/>
    <s v="Qtr 1"/>
    <x v="0"/>
    <x v="1"/>
    <n v="180206.45652700006"/>
  </r>
  <r>
    <x v="1"/>
    <s v="Qtr 1"/>
    <x v="0"/>
    <x v="2"/>
    <n v="178031.54057400004"/>
  </r>
  <r>
    <x v="1"/>
    <s v="Qtr 1"/>
    <x v="0"/>
    <x v="3"/>
    <n v="191149.937439"/>
  </r>
  <r>
    <x v="1"/>
    <s v="Qtr 1"/>
    <x v="0"/>
    <x v="4"/>
    <n v="181778.32389100004"/>
  </r>
  <r>
    <x v="1"/>
    <s v="Qtr 1"/>
    <x v="0"/>
    <x v="5"/>
    <n v="358367.25998200022"/>
  </r>
  <r>
    <x v="1"/>
    <s v="Qtr 1"/>
    <x v="0"/>
    <x v="6"/>
    <n v="354705.94595599984"/>
  </r>
  <r>
    <x v="1"/>
    <s v="Qtr 1"/>
    <x v="0"/>
    <x v="7"/>
    <n v="177328.44938500013"/>
  </r>
  <r>
    <x v="1"/>
    <s v="Qtr 1"/>
    <x v="0"/>
    <x v="8"/>
    <n v="166899.43244200011"/>
  </r>
  <r>
    <x v="1"/>
    <s v="Qtr 1"/>
    <x v="0"/>
    <x v="9"/>
    <n v="175455.07647600002"/>
  </r>
  <r>
    <x v="1"/>
    <s v="Qtr 1"/>
    <x v="0"/>
    <x v="10"/>
    <n v="136766.07041199997"/>
  </r>
  <r>
    <x v="1"/>
    <s v="Qtr 1"/>
    <x v="0"/>
    <x v="11"/>
    <n v="140006.27760199999"/>
  </r>
  <r>
    <x v="1"/>
    <s v="Qtr 1"/>
    <x v="0"/>
    <x v="12"/>
    <n v="278851.29141499999"/>
  </r>
  <r>
    <x v="1"/>
    <s v="Qtr 1"/>
    <x v="0"/>
    <x v="13"/>
    <n v="273972.29283299996"/>
  </r>
  <r>
    <x v="1"/>
    <s v="Qtr 1"/>
    <x v="0"/>
    <x v="14"/>
    <n v="198758.60582899995"/>
  </r>
  <r>
    <x v="1"/>
    <s v="Qtr 1"/>
    <x v="0"/>
    <x v="15"/>
    <n v="136448.97894999993"/>
  </r>
  <r>
    <x v="1"/>
    <s v="Qtr 1"/>
    <x v="0"/>
    <x v="16"/>
    <n v="133165.01039000001"/>
  </r>
  <r>
    <x v="1"/>
    <s v="Qtr 1"/>
    <x v="0"/>
    <x v="17"/>
    <n v="138704.67274500002"/>
  </r>
  <r>
    <x v="1"/>
    <s v="Qtr 1"/>
    <x v="0"/>
    <x v="18"/>
    <n v="139029.94804999995"/>
  </r>
  <r>
    <x v="1"/>
    <s v="Qtr 1"/>
    <x v="0"/>
    <x v="19"/>
    <n v="280313.06827300013"/>
  </r>
  <r>
    <x v="1"/>
    <s v="Qtr 1"/>
    <x v="0"/>
    <x v="20"/>
    <n v="268244.92777800007"/>
  </r>
  <r>
    <x v="1"/>
    <s v="Qtr 1"/>
    <x v="0"/>
    <x v="21"/>
    <n v="134026.004139"/>
  </r>
  <r>
    <x v="1"/>
    <s v="Qtr 1"/>
    <x v="0"/>
    <x v="22"/>
    <n v="146723.93060999992"/>
  </r>
  <r>
    <x v="1"/>
    <s v="Qtr 1"/>
    <x v="0"/>
    <x v="23"/>
    <n v="141238.7510499999"/>
  </r>
  <r>
    <x v="1"/>
    <s v="Qtr 1"/>
    <x v="0"/>
    <x v="24"/>
    <n v="137182.05042600003"/>
  </r>
  <r>
    <x v="1"/>
    <s v="Qtr 1"/>
    <x v="0"/>
    <x v="25"/>
    <n v="141644.79810300001"/>
  </r>
  <r>
    <x v="1"/>
    <s v="Qtr 1"/>
    <x v="0"/>
    <x v="26"/>
    <n v="274449.10863400018"/>
  </r>
  <r>
    <x v="1"/>
    <s v="Qtr 1"/>
    <x v="0"/>
    <x v="27"/>
    <n v="269524.35858999979"/>
  </r>
  <r>
    <x v="1"/>
    <s v="Qtr 1"/>
    <x v="0"/>
    <x v="28"/>
    <n v="133357.27866599994"/>
  </r>
  <r>
    <x v="1"/>
    <s v="Qtr 1"/>
    <x v="0"/>
    <x v="29"/>
    <n v="138998.48469300001"/>
  </r>
  <r>
    <x v="1"/>
    <s v="Qtr 1"/>
    <x v="0"/>
    <x v="30"/>
    <n v="136616.99597399993"/>
  </r>
  <r>
    <x v="1"/>
    <s v="Qtr 1"/>
    <x v="1"/>
    <x v="0"/>
    <n v="151302.48396499993"/>
  </r>
  <r>
    <x v="1"/>
    <s v="Qtr 1"/>
    <x v="1"/>
    <x v="1"/>
    <n v="139935.66442000002"/>
  </r>
  <r>
    <x v="1"/>
    <s v="Qtr 1"/>
    <x v="1"/>
    <x v="2"/>
    <n v="293750.45167400013"/>
  </r>
  <r>
    <x v="1"/>
    <s v="Qtr 1"/>
    <x v="1"/>
    <x v="3"/>
    <n v="276979.10063400009"/>
  </r>
  <r>
    <x v="1"/>
    <s v="Qtr 1"/>
    <x v="1"/>
    <x v="4"/>
    <n v="149977.17066999999"/>
  </r>
  <r>
    <x v="1"/>
    <s v="Qtr 1"/>
    <x v="1"/>
    <x v="5"/>
    <n v="135960.88828600003"/>
  </r>
  <r>
    <x v="1"/>
    <s v="Qtr 1"/>
    <x v="1"/>
    <x v="6"/>
    <n v="147080.86409599998"/>
  </r>
  <r>
    <x v="1"/>
    <s v="Qtr 1"/>
    <x v="1"/>
    <x v="7"/>
    <n v="132787.55683899991"/>
  </r>
  <r>
    <x v="1"/>
    <s v="Qtr 1"/>
    <x v="1"/>
    <x v="8"/>
    <n v="149104.01683700003"/>
  </r>
  <r>
    <x v="1"/>
    <s v="Qtr 1"/>
    <x v="1"/>
    <x v="9"/>
    <n v="418573.35234999994"/>
  </r>
  <r>
    <x v="1"/>
    <s v="Qtr 1"/>
    <x v="1"/>
    <x v="10"/>
    <n v="285154.41266999999"/>
  </r>
  <r>
    <x v="1"/>
    <s v="Qtr 1"/>
    <x v="1"/>
    <x v="11"/>
    <n v="143329.59359499998"/>
  </r>
  <r>
    <x v="1"/>
    <s v="Qtr 1"/>
    <x v="1"/>
    <x v="12"/>
    <n v="142520.25274499995"/>
  </r>
  <r>
    <x v="1"/>
    <s v="Qtr 1"/>
    <x v="1"/>
    <x v="13"/>
    <n v="146834.65046000006"/>
  </r>
  <r>
    <x v="1"/>
    <s v="Qtr 1"/>
    <x v="1"/>
    <x v="14"/>
    <n v="138219.945695"/>
  </r>
  <r>
    <x v="1"/>
    <s v="Qtr 1"/>
    <x v="1"/>
    <x v="15"/>
    <n v="150800.64696500002"/>
  </r>
  <r>
    <x v="1"/>
    <s v="Qtr 1"/>
    <x v="1"/>
    <x v="16"/>
    <n v="278208.921195"/>
  </r>
  <r>
    <x v="1"/>
    <s v="Qtr 1"/>
    <x v="1"/>
    <x v="17"/>
    <n v="285799.38886999997"/>
  </r>
  <r>
    <x v="1"/>
    <s v="Qtr 1"/>
    <x v="1"/>
    <x v="18"/>
    <n v="192963.54528999995"/>
  </r>
  <r>
    <x v="1"/>
    <s v="Qtr 1"/>
    <x v="1"/>
    <x v="19"/>
    <n v="143710.93760499998"/>
  </r>
  <r>
    <x v="1"/>
    <s v="Qtr 1"/>
    <x v="1"/>
    <x v="20"/>
    <n v="146867.21624999997"/>
  </r>
  <r>
    <x v="1"/>
    <s v="Qtr 1"/>
    <x v="1"/>
    <x v="21"/>
    <n v="143716.32438500007"/>
  </r>
  <r>
    <x v="1"/>
    <s v="Qtr 1"/>
    <x v="1"/>
    <x v="22"/>
    <n v="142833.84525999997"/>
  </r>
  <r>
    <x v="1"/>
    <s v="Qtr 1"/>
    <x v="1"/>
    <x v="23"/>
    <n v="292966.00125500018"/>
  </r>
  <r>
    <x v="1"/>
    <s v="Qtr 1"/>
    <x v="1"/>
    <x v="24"/>
    <n v="282465.93556500005"/>
  </r>
  <r>
    <x v="1"/>
    <s v="Qtr 1"/>
    <x v="1"/>
    <x v="25"/>
    <n v="145957.52757499996"/>
  </r>
  <r>
    <x v="1"/>
    <s v="Qtr 1"/>
    <x v="1"/>
    <x v="26"/>
    <n v="144208.71362000002"/>
  </r>
  <r>
    <x v="1"/>
    <s v="Qtr 1"/>
    <x v="1"/>
    <x v="27"/>
    <n v="147636.78979500002"/>
  </r>
  <r>
    <x v="1"/>
    <s v="Qtr 1"/>
    <x v="1"/>
    <x v="28"/>
    <n v="147865.90458000006"/>
  </r>
  <r>
    <x v="1"/>
    <s v="Qtr 1"/>
    <x v="2"/>
    <x v="0"/>
    <n v="301452.44062499981"/>
  </r>
  <r>
    <x v="1"/>
    <s v="Qtr 1"/>
    <x v="2"/>
    <x v="1"/>
    <n v="575447.39114500012"/>
  </r>
  <r>
    <x v="1"/>
    <s v="Qtr 1"/>
    <x v="2"/>
    <x v="2"/>
    <n v="606048.99841499981"/>
  </r>
  <r>
    <x v="1"/>
    <s v="Qtr 1"/>
    <x v="2"/>
    <x v="3"/>
    <n v="292158.49285499984"/>
  </r>
  <r>
    <x v="1"/>
    <s v="Qtr 1"/>
    <x v="2"/>
    <x v="4"/>
    <n v="303542.00289499987"/>
  </r>
  <r>
    <x v="1"/>
    <s v="Qtr 1"/>
    <x v="2"/>
    <x v="5"/>
    <n v="286528.01676999975"/>
  </r>
  <r>
    <x v="1"/>
    <s v="Qtr 1"/>
    <x v="2"/>
    <x v="6"/>
    <n v="303858.54785499966"/>
  </r>
  <r>
    <x v="1"/>
    <s v="Qtr 1"/>
    <x v="2"/>
    <x v="7"/>
    <n v="302089.58154499996"/>
  </r>
  <r>
    <x v="1"/>
    <s v="Qtr 1"/>
    <x v="2"/>
    <x v="8"/>
    <n v="596977.80096499971"/>
  </r>
  <r>
    <x v="1"/>
    <s v="Qtr 1"/>
    <x v="2"/>
    <x v="9"/>
    <n v="588080.57196499989"/>
  </r>
  <r>
    <x v="1"/>
    <s v="Qtr 1"/>
    <x v="2"/>
    <x v="10"/>
    <n v="297996.47515499976"/>
  </r>
  <r>
    <x v="1"/>
    <s v="Qtr 1"/>
    <x v="2"/>
    <x v="11"/>
    <n v="302803.79738499987"/>
  </r>
  <r>
    <x v="1"/>
    <s v="Qtr 1"/>
    <x v="2"/>
    <x v="12"/>
    <n v="282591.44050999999"/>
  </r>
  <r>
    <x v="1"/>
    <s v="Qtr 1"/>
    <x v="2"/>
    <x v="13"/>
    <n v="293662.64161999978"/>
  </r>
  <r>
    <x v="1"/>
    <s v="Qtr 1"/>
    <x v="2"/>
    <x v="14"/>
    <n v="365728.18491000048"/>
  </r>
  <r>
    <x v="1"/>
    <s v="Qtr 1"/>
    <x v="2"/>
    <x v="15"/>
    <n v="725346.80747699772"/>
  </r>
  <r>
    <x v="1"/>
    <s v="Qtr 1"/>
    <x v="2"/>
    <x v="16"/>
    <n v="796104.84111399786"/>
  </r>
  <r>
    <x v="1"/>
    <s v="Qtr 1"/>
    <x v="2"/>
    <x v="17"/>
    <n v="400794.11564600019"/>
  </r>
  <r>
    <x v="1"/>
    <s v="Qtr 1"/>
    <x v="2"/>
    <x v="18"/>
    <n v="370535.67049900035"/>
  </r>
  <r>
    <x v="1"/>
    <s v="Qtr 1"/>
    <x v="2"/>
    <x v="19"/>
    <n v="387481.29581300053"/>
  </r>
  <r>
    <x v="1"/>
    <s v="Qtr 1"/>
    <x v="2"/>
    <x v="20"/>
    <n v="389835.24396500038"/>
  </r>
  <r>
    <x v="1"/>
    <s v="Qtr 1"/>
    <x v="2"/>
    <x v="21"/>
    <n v="388020.42869200016"/>
  </r>
  <r>
    <x v="1"/>
    <s v="Qtr 1"/>
    <x v="2"/>
    <x v="22"/>
    <n v="768618.48656099814"/>
  </r>
  <r>
    <x v="1"/>
    <s v="Qtr 1"/>
    <x v="2"/>
    <x v="23"/>
    <n v="735332.05976199848"/>
  </r>
  <r>
    <x v="1"/>
    <s v="Qtr 1"/>
    <x v="2"/>
    <x v="24"/>
    <n v="386737.37763400021"/>
  </r>
  <r>
    <x v="1"/>
    <s v="Qtr 1"/>
    <x v="2"/>
    <x v="25"/>
    <n v="383744.02991300059"/>
  </r>
  <r>
    <x v="1"/>
    <s v="Qtr 1"/>
    <x v="2"/>
    <x v="26"/>
    <n v="392637.52235800039"/>
  </r>
  <r>
    <x v="1"/>
    <s v="Qtr 1"/>
    <x v="2"/>
    <x v="27"/>
    <n v="355543.31552600005"/>
  </r>
  <r>
    <x v="1"/>
    <s v="Qtr 1"/>
    <x v="2"/>
    <x v="28"/>
    <n v="580675.9914289997"/>
  </r>
  <r>
    <x v="1"/>
    <s v="Qtr 1"/>
    <x v="2"/>
    <x v="29"/>
    <n v="790220.78926699888"/>
  </r>
  <r>
    <x v="1"/>
    <s v="Qtr 1"/>
    <x v="2"/>
    <x v="30"/>
    <n v="922634.54571700143"/>
  </r>
  <r>
    <x v="1"/>
    <s v="Qtr 2"/>
    <x v="3"/>
    <x v="0"/>
    <n v="398584.42754399957"/>
  </r>
  <r>
    <x v="1"/>
    <s v="Qtr 2"/>
    <x v="3"/>
    <x v="1"/>
    <n v="295389.93583500001"/>
  </r>
  <r>
    <x v="1"/>
    <s v="Qtr 2"/>
    <x v="3"/>
    <x v="2"/>
    <n v="283488.55033599999"/>
  </r>
  <r>
    <x v="1"/>
    <s v="Qtr 2"/>
    <x v="3"/>
    <x v="3"/>
    <n v="408849.00555599958"/>
  </r>
  <r>
    <x v="1"/>
    <s v="Qtr 2"/>
    <x v="3"/>
    <x v="4"/>
    <n v="282472.38942100009"/>
  </r>
  <r>
    <x v="1"/>
    <s v="Qtr 2"/>
    <x v="3"/>
    <x v="5"/>
    <n v="552472.26826999907"/>
  </r>
  <r>
    <x v="1"/>
    <s v="Qtr 2"/>
    <x v="3"/>
    <x v="6"/>
    <n v="549999.77491899871"/>
  </r>
  <r>
    <x v="1"/>
    <s v="Qtr 2"/>
    <x v="3"/>
    <x v="7"/>
    <n v="272948.68130699988"/>
  </r>
  <r>
    <x v="1"/>
    <s v="Qtr 2"/>
    <x v="3"/>
    <x v="8"/>
    <n v="275842.75926999998"/>
  </r>
  <r>
    <x v="1"/>
    <s v="Qtr 2"/>
    <x v="3"/>
    <x v="9"/>
    <n v="279287.68003499997"/>
  </r>
  <r>
    <x v="1"/>
    <s v="Qtr 2"/>
    <x v="3"/>
    <x v="10"/>
    <n v="276444.85929299996"/>
  </r>
  <r>
    <x v="1"/>
    <s v="Qtr 2"/>
    <x v="3"/>
    <x v="11"/>
    <n v="280881.79740199988"/>
  </r>
  <r>
    <x v="1"/>
    <s v="Qtr 2"/>
    <x v="3"/>
    <x v="12"/>
    <n v="561436.96251999901"/>
  </r>
  <r>
    <x v="1"/>
    <s v="Qtr 2"/>
    <x v="3"/>
    <x v="13"/>
    <n v="579330.23303499853"/>
  </r>
  <r>
    <x v="1"/>
    <s v="Qtr 2"/>
    <x v="3"/>
    <x v="14"/>
    <n v="280222.54728200001"/>
  </r>
  <r>
    <x v="1"/>
    <s v="Qtr 2"/>
    <x v="3"/>
    <x v="15"/>
    <n v="268839.47475200001"/>
  </r>
  <r>
    <x v="1"/>
    <s v="Qtr 2"/>
    <x v="3"/>
    <x v="16"/>
    <n v="288630.16350500012"/>
  </r>
  <r>
    <x v="1"/>
    <s v="Qtr 2"/>
    <x v="3"/>
    <x v="17"/>
    <n v="280694.30888399994"/>
  </r>
  <r>
    <x v="1"/>
    <s v="Qtr 2"/>
    <x v="3"/>
    <x v="18"/>
    <n v="287356.34462799999"/>
  </r>
  <r>
    <x v="1"/>
    <s v="Qtr 2"/>
    <x v="3"/>
    <x v="19"/>
    <n v="546129.01723799889"/>
  </r>
  <r>
    <x v="1"/>
    <s v="Qtr 2"/>
    <x v="3"/>
    <x v="20"/>
    <n v="576047.82621899887"/>
  </r>
  <r>
    <x v="1"/>
    <s v="Qtr 2"/>
    <x v="3"/>
    <x v="21"/>
    <n v="278616.30802399997"/>
  </r>
  <r>
    <x v="1"/>
    <s v="Qtr 2"/>
    <x v="3"/>
    <x v="22"/>
    <n v="284474.67593599996"/>
  </r>
  <r>
    <x v="1"/>
    <s v="Qtr 2"/>
    <x v="3"/>
    <x v="23"/>
    <n v="282715.53637599992"/>
  </r>
  <r>
    <x v="1"/>
    <s v="Qtr 2"/>
    <x v="3"/>
    <x v="24"/>
    <n v="351181.83022599999"/>
  </r>
  <r>
    <x v="1"/>
    <s v="Qtr 2"/>
    <x v="3"/>
    <x v="25"/>
    <n v="278858.32582600001"/>
  </r>
  <r>
    <x v="1"/>
    <s v="Qtr 2"/>
    <x v="3"/>
    <x v="26"/>
    <n v="552318.81764499925"/>
  </r>
  <r>
    <x v="1"/>
    <s v="Qtr 2"/>
    <x v="3"/>
    <x v="27"/>
    <n v="556386.79491899896"/>
  </r>
  <r>
    <x v="1"/>
    <s v="Qtr 2"/>
    <x v="3"/>
    <x v="28"/>
    <n v="285757.31034999999"/>
  </r>
  <r>
    <x v="1"/>
    <s v="Qtr 2"/>
    <x v="3"/>
    <x v="29"/>
    <n v="276924.54157499992"/>
  </r>
  <r>
    <x v="1"/>
    <s v="Qtr 2"/>
    <x v="4"/>
    <x v="0"/>
    <n v="578504.96597899985"/>
  </r>
  <r>
    <x v="1"/>
    <s v="Qtr 2"/>
    <x v="4"/>
    <x v="1"/>
    <n v="286006.85435400001"/>
  </r>
  <r>
    <x v="1"/>
    <s v="Qtr 2"/>
    <x v="4"/>
    <x v="2"/>
    <n v="285883.97101799992"/>
  </r>
  <r>
    <x v="1"/>
    <s v="Qtr 2"/>
    <x v="4"/>
    <x v="3"/>
    <n v="561484.19914199947"/>
  </r>
  <r>
    <x v="1"/>
    <s v="Qtr 2"/>
    <x v="4"/>
    <x v="4"/>
    <n v="574023.0327239997"/>
  </r>
  <r>
    <x v="1"/>
    <s v="Qtr 2"/>
    <x v="4"/>
    <x v="5"/>
    <n v="326747.76833600004"/>
  </r>
  <r>
    <x v="1"/>
    <s v="Qtr 2"/>
    <x v="4"/>
    <x v="6"/>
    <n v="300235.70800899988"/>
  </r>
  <r>
    <x v="1"/>
    <s v="Qtr 2"/>
    <x v="4"/>
    <x v="7"/>
    <n v="341520.3472189997"/>
  </r>
  <r>
    <x v="1"/>
    <s v="Qtr 2"/>
    <x v="4"/>
    <x v="8"/>
    <n v="375818.34109199996"/>
  </r>
  <r>
    <x v="1"/>
    <s v="Qtr 2"/>
    <x v="4"/>
    <x v="9"/>
    <n v="299745.49558599998"/>
  </r>
  <r>
    <x v="1"/>
    <s v="Qtr 2"/>
    <x v="4"/>
    <x v="10"/>
    <n v="579281.13663299941"/>
  </r>
  <r>
    <x v="1"/>
    <s v="Qtr 2"/>
    <x v="4"/>
    <x v="11"/>
    <n v="581602.54376699997"/>
  </r>
  <r>
    <x v="1"/>
    <s v="Qtr 2"/>
    <x v="4"/>
    <x v="12"/>
    <n v="303226.38282300014"/>
  </r>
  <r>
    <x v="1"/>
    <s v="Qtr 2"/>
    <x v="4"/>
    <x v="13"/>
    <n v="285883.02783700009"/>
  </r>
  <r>
    <x v="1"/>
    <s v="Qtr 2"/>
    <x v="4"/>
    <x v="14"/>
    <n v="280061.55902599997"/>
  </r>
  <r>
    <x v="1"/>
    <s v="Qtr 2"/>
    <x v="4"/>
    <x v="15"/>
    <n v="219549.96178199988"/>
  </r>
  <r>
    <x v="1"/>
    <s v="Qtr 2"/>
    <x v="4"/>
    <x v="16"/>
    <n v="215877.77864299994"/>
  </r>
  <r>
    <x v="1"/>
    <s v="Qtr 2"/>
    <x v="4"/>
    <x v="17"/>
    <n v="451206.70916199987"/>
  </r>
  <r>
    <x v="1"/>
    <s v="Qtr 2"/>
    <x v="4"/>
    <x v="18"/>
    <n v="440255.39454199973"/>
  </r>
  <r>
    <x v="1"/>
    <s v="Qtr 2"/>
    <x v="4"/>
    <x v="19"/>
    <n v="292258.05345899984"/>
  </r>
  <r>
    <x v="1"/>
    <s v="Qtr 2"/>
    <x v="4"/>
    <x v="20"/>
    <n v="219556.72403099985"/>
  </r>
  <r>
    <x v="1"/>
    <s v="Qtr 2"/>
    <x v="4"/>
    <x v="21"/>
    <n v="221987.65606199994"/>
  </r>
  <r>
    <x v="1"/>
    <s v="Qtr 2"/>
    <x v="4"/>
    <x v="22"/>
    <n v="227410.79112199988"/>
  </r>
  <r>
    <x v="1"/>
    <s v="Qtr 2"/>
    <x v="4"/>
    <x v="23"/>
    <n v="234406.49290399993"/>
  </r>
  <r>
    <x v="1"/>
    <s v="Qtr 2"/>
    <x v="4"/>
    <x v="24"/>
    <n v="443465.79531599965"/>
  </r>
  <r>
    <x v="1"/>
    <s v="Qtr 2"/>
    <x v="4"/>
    <x v="25"/>
    <n v="441925.61352399975"/>
  </r>
  <r>
    <x v="1"/>
    <s v="Qtr 2"/>
    <x v="4"/>
    <x v="26"/>
    <n v="346409.12252000015"/>
  </r>
  <r>
    <x v="1"/>
    <s v="Qtr 2"/>
    <x v="4"/>
    <x v="27"/>
    <n v="227357.90319299992"/>
  </r>
  <r>
    <x v="1"/>
    <s v="Qtr 2"/>
    <x v="4"/>
    <x v="28"/>
    <n v="220746.08013199983"/>
  </r>
  <r>
    <x v="1"/>
    <s v="Qtr 2"/>
    <x v="4"/>
    <x v="29"/>
    <n v="220728.63401399995"/>
  </r>
  <r>
    <x v="1"/>
    <s v="Qtr 2"/>
    <x v="4"/>
    <x v="30"/>
    <n v="225429.42787099993"/>
  </r>
  <r>
    <x v="1"/>
    <s v="Qtr 2"/>
    <x v="5"/>
    <x v="0"/>
    <n v="388925.84749199986"/>
  </r>
  <r>
    <x v="1"/>
    <s v="Qtr 2"/>
    <x v="5"/>
    <x v="1"/>
    <n v="420724.72014000005"/>
  </r>
  <r>
    <x v="1"/>
    <s v="Qtr 2"/>
    <x v="5"/>
    <x v="2"/>
    <n v="205425.97453200002"/>
  </r>
  <r>
    <x v="1"/>
    <s v="Qtr 2"/>
    <x v="5"/>
    <x v="3"/>
    <n v="204725.86248199979"/>
  </r>
  <r>
    <x v="1"/>
    <s v="Qtr 2"/>
    <x v="5"/>
    <x v="4"/>
    <n v="202109.78175399988"/>
  </r>
  <r>
    <x v="1"/>
    <s v="Qtr 2"/>
    <x v="5"/>
    <x v="5"/>
    <n v="207345.05462499996"/>
  </r>
  <r>
    <x v="1"/>
    <s v="Qtr 2"/>
    <x v="5"/>
    <x v="6"/>
    <n v="210042.83963199993"/>
  </r>
  <r>
    <x v="1"/>
    <s v="Qtr 2"/>
    <x v="5"/>
    <x v="7"/>
    <n v="407174.71754299989"/>
  </r>
  <r>
    <x v="1"/>
    <s v="Qtr 2"/>
    <x v="5"/>
    <x v="8"/>
    <n v="423546.25732499996"/>
  </r>
  <r>
    <x v="1"/>
    <s v="Qtr 2"/>
    <x v="5"/>
    <x v="9"/>
    <n v="351849.4346889999"/>
  </r>
  <r>
    <x v="1"/>
    <s v="Qtr 2"/>
    <x v="5"/>
    <x v="10"/>
    <n v="202766.09294999996"/>
  </r>
  <r>
    <x v="1"/>
    <s v="Qtr 2"/>
    <x v="5"/>
    <x v="11"/>
    <n v="211005.41109999991"/>
  </r>
  <r>
    <x v="1"/>
    <s v="Qtr 2"/>
    <x v="5"/>
    <x v="12"/>
    <n v="211643.69609999988"/>
  </r>
  <r>
    <x v="1"/>
    <s v="Qtr 2"/>
    <x v="5"/>
    <x v="13"/>
    <n v="208307.65504999986"/>
  </r>
  <r>
    <x v="1"/>
    <s v="Qtr 2"/>
    <x v="5"/>
    <x v="14"/>
    <n v="410697.95570000005"/>
  </r>
  <r>
    <x v="1"/>
    <s v="Qtr 2"/>
    <x v="5"/>
    <x v="15"/>
    <n v="434405.49020000017"/>
  </r>
  <r>
    <x v="1"/>
    <s v="Qtr 2"/>
    <x v="5"/>
    <x v="16"/>
    <n v="209253.69775000005"/>
  </r>
  <r>
    <x v="1"/>
    <s v="Qtr 2"/>
    <x v="5"/>
    <x v="17"/>
    <n v="197998.02069999999"/>
  </r>
  <r>
    <x v="1"/>
    <s v="Qtr 2"/>
    <x v="5"/>
    <x v="18"/>
    <n v="209146.13864999998"/>
  </r>
  <r>
    <x v="1"/>
    <s v="Qtr 2"/>
    <x v="5"/>
    <x v="19"/>
    <n v="203841.68634999992"/>
  </r>
  <r>
    <x v="1"/>
    <s v="Qtr 2"/>
    <x v="5"/>
    <x v="20"/>
    <n v="213662.80299999993"/>
  </r>
  <r>
    <x v="1"/>
    <s v="Qtr 2"/>
    <x v="5"/>
    <x v="21"/>
    <n v="413317.13699999987"/>
  </r>
  <r>
    <x v="1"/>
    <s v="Qtr 2"/>
    <x v="5"/>
    <x v="22"/>
    <n v="420705.83895000024"/>
  </r>
  <r>
    <x v="1"/>
    <s v="Qtr 2"/>
    <x v="5"/>
    <x v="23"/>
    <n v="206710.85784999997"/>
  </r>
  <r>
    <x v="1"/>
    <s v="Qtr 2"/>
    <x v="5"/>
    <x v="24"/>
    <n v="212782.80194999982"/>
  </r>
  <r>
    <x v="1"/>
    <s v="Qtr 2"/>
    <x v="5"/>
    <x v="25"/>
    <n v="208554.14634999997"/>
  </r>
  <r>
    <x v="1"/>
    <s v="Qtr 2"/>
    <x v="5"/>
    <x v="26"/>
    <n v="214330.14459999997"/>
  </r>
  <r>
    <x v="1"/>
    <s v="Qtr 2"/>
    <x v="5"/>
    <x v="27"/>
    <n v="196365.6821500001"/>
  </r>
  <r>
    <x v="1"/>
    <s v="Qtr 2"/>
    <x v="5"/>
    <x v="28"/>
    <n v="409466.11799999996"/>
  </r>
  <r>
    <x v="1"/>
    <s v="Qtr 2"/>
    <x v="5"/>
    <x v="29"/>
    <n v="400423.10310000001"/>
  </r>
  <r>
    <x v="1"/>
    <s v="Qtr 3"/>
    <x v="6"/>
    <x v="0"/>
    <n v="184663.60589999991"/>
  </r>
  <r>
    <x v="1"/>
    <s v="Qtr 3"/>
    <x v="6"/>
    <x v="1"/>
    <n v="185069.436865"/>
  </r>
  <r>
    <x v="1"/>
    <s v="Qtr 3"/>
    <x v="6"/>
    <x v="2"/>
    <n v="189688.86007499992"/>
  </r>
  <r>
    <x v="1"/>
    <s v="Qtr 3"/>
    <x v="6"/>
    <x v="3"/>
    <n v="258865.77274499994"/>
  </r>
  <r>
    <x v="1"/>
    <s v="Qtr 3"/>
    <x v="6"/>
    <x v="4"/>
    <n v="189472.85722499996"/>
  </r>
  <r>
    <x v="1"/>
    <s v="Qtr 3"/>
    <x v="6"/>
    <x v="5"/>
    <n v="372506.88281500002"/>
  </r>
  <r>
    <x v="1"/>
    <s v="Qtr 3"/>
    <x v="6"/>
    <x v="6"/>
    <n v="370019.01702000009"/>
  </r>
  <r>
    <x v="1"/>
    <s v="Qtr 3"/>
    <x v="6"/>
    <x v="7"/>
    <n v="189268.28649999999"/>
  </r>
  <r>
    <x v="1"/>
    <s v="Qtr 3"/>
    <x v="6"/>
    <x v="8"/>
    <n v="187873.30887999988"/>
  </r>
  <r>
    <x v="1"/>
    <s v="Qtr 3"/>
    <x v="6"/>
    <x v="9"/>
    <n v="181926.11393499991"/>
  </r>
  <r>
    <x v="1"/>
    <s v="Qtr 3"/>
    <x v="6"/>
    <x v="10"/>
    <n v="191911.71828999996"/>
  </r>
  <r>
    <x v="1"/>
    <s v="Qtr 3"/>
    <x v="6"/>
    <x v="11"/>
    <n v="187378.42224999992"/>
  </r>
  <r>
    <x v="1"/>
    <s v="Qtr 3"/>
    <x v="6"/>
    <x v="12"/>
    <n v="372171.3877000002"/>
  </r>
  <r>
    <x v="1"/>
    <s v="Qtr 3"/>
    <x v="6"/>
    <x v="13"/>
    <n v="418016.05042999994"/>
  </r>
  <r>
    <x v="1"/>
    <s v="Qtr 3"/>
    <x v="6"/>
    <x v="14"/>
    <n v="184204.09289999996"/>
  </r>
  <r>
    <x v="1"/>
    <s v="Qtr 3"/>
    <x v="6"/>
    <x v="15"/>
    <n v="188979.12845999995"/>
  </r>
  <r>
    <x v="1"/>
    <s v="Qtr 3"/>
    <x v="6"/>
    <x v="16"/>
    <n v="185932.06271999993"/>
  </r>
  <r>
    <x v="1"/>
    <s v="Qtr 3"/>
    <x v="6"/>
    <x v="17"/>
    <n v="186216.83528499986"/>
  </r>
  <r>
    <x v="1"/>
    <s v="Qtr 3"/>
    <x v="6"/>
    <x v="18"/>
    <n v="184843.39815499994"/>
  </r>
  <r>
    <x v="1"/>
    <s v="Qtr 3"/>
    <x v="6"/>
    <x v="19"/>
    <n v="348139.50655999989"/>
  </r>
  <r>
    <x v="1"/>
    <s v="Qtr 3"/>
    <x v="6"/>
    <x v="20"/>
    <n v="369758.54113499995"/>
  </r>
  <r>
    <x v="1"/>
    <s v="Qtr 3"/>
    <x v="6"/>
    <x v="21"/>
    <n v="184328.18429499993"/>
  </r>
  <r>
    <x v="1"/>
    <s v="Qtr 3"/>
    <x v="6"/>
    <x v="22"/>
    <n v="195036.35719999991"/>
  </r>
  <r>
    <x v="1"/>
    <s v="Qtr 3"/>
    <x v="6"/>
    <x v="23"/>
    <n v="187880.80196999991"/>
  </r>
  <r>
    <x v="1"/>
    <s v="Qtr 3"/>
    <x v="6"/>
    <x v="24"/>
    <n v="191640.09749999997"/>
  </r>
  <r>
    <x v="1"/>
    <s v="Qtr 3"/>
    <x v="6"/>
    <x v="25"/>
    <n v="190376.77970499996"/>
  </r>
  <r>
    <x v="1"/>
    <s v="Qtr 3"/>
    <x v="6"/>
    <x v="26"/>
    <n v="366690.39307499997"/>
  </r>
  <r>
    <x v="1"/>
    <s v="Qtr 3"/>
    <x v="6"/>
    <x v="27"/>
    <n v="374648.41705500009"/>
  </r>
  <r>
    <x v="1"/>
    <s v="Qtr 3"/>
    <x v="6"/>
    <x v="28"/>
    <n v="191994.03251999983"/>
  </r>
  <r>
    <x v="1"/>
    <s v="Qtr 3"/>
    <x v="6"/>
    <x v="29"/>
    <n v="190514.26731999998"/>
  </r>
  <r>
    <x v="1"/>
    <s v="Qtr 3"/>
    <x v="6"/>
    <x v="30"/>
    <n v="184435.61817499984"/>
  </r>
  <r>
    <x v="1"/>
    <s v="Qtr 3"/>
    <x v="7"/>
    <x v="0"/>
    <n v="195717.66473499991"/>
  </r>
  <r>
    <x v="1"/>
    <s v="Qtr 3"/>
    <x v="7"/>
    <x v="1"/>
    <n v="188379.55402999988"/>
  </r>
  <r>
    <x v="1"/>
    <s v="Qtr 3"/>
    <x v="7"/>
    <x v="2"/>
    <n v="379667.27936499973"/>
  </r>
  <r>
    <x v="1"/>
    <s v="Qtr 3"/>
    <x v="7"/>
    <x v="3"/>
    <n v="372518.7678499996"/>
  </r>
  <r>
    <x v="1"/>
    <s v="Qtr 3"/>
    <x v="7"/>
    <x v="4"/>
    <n v="186793.09196999995"/>
  </r>
  <r>
    <x v="1"/>
    <s v="Qtr 3"/>
    <x v="7"/>
    <x v="5"/>
    <n v="186804.12216499995"/>
  </r>
  <r>
    <x v="1"/>
    <s v="Qtr 3"/>
    <x v="7"/>
    <x v="6"/>
    <n v="190236.13472999999"/>
  </r>
  <r>
    <x v="1"/>
    <s v="Qtr 3"/>
    <x v="7"/>
    <x v="7"/>
    <n v="186680.94526999991"/>
  </r>
  <r>
    <x v="1"/>
    <s v="Qtr 3"/>
    <x v="7"/>
    <x v="8"/>
    <n v="194075.95033999992"/>
  </r>
  <r>
    <x v="1"/>
    <s v="Qtr 3"/>
    <x v="7"/>
    <x v="9"/>
    <n v="394172.24124499975"/>
  </r>
  <r>
    <x v="1"/>
    <s v="Qtr 3"/>
    <x v="7"/>
    <x v="10"/>
    <n v="391106.09341999964"/>
  </r>
  <r>
    <x v="1"/>
    <s v="Qtr 3"/>
    <x v="7"/>
    <x v="11"/>
    <n v="190509.75004999992"/>
  </r>
  <r>
    <x v="1"/>
    <s v="Qtr 3"/>
    <x v="7"/>
    <x v="12"/>
    <n v="190997.85448999994"/>
  </r>
  <r>
    <x v="1"/>
    <s v="Qtr 3"/>
    <x v="7"/>
    <x v="13"/>
    <n v="182180.15153499987"/>
  </r>
  <r>
    <x v="1"/>
    <s v="Qtr 3"/>
    <x v="7"/>
    <x v="14"/>
    <n v="260839.34415499994"/>
  </r>
  <r>
    <x v="1"/>
    <s v="Qtr 3"/>
    <x v="7"/>
    <x v="15"/>
    <n v="190785.90599"/>
  </r>
  <r>
    <x v="1"/>
    <s v="Qtr 3"/>
    <x v="7"/>
    <x v="16"/>
    <n v="378785.08132999978"/>
  </r>
  <r>
    <x v="1"/>
    <s v="Qtr 3"/>
    <x v="7"/>
    <x v="17"/>
    <n v="371620.4796949997"/>
  </r>
  <r>
    <x v="1"/>
    <s v="Qtr 3"/>
    <x v="7"/>
    <x v="18"/>
    <n v="189378.13844499993"/>
  </r>
  <r>
    <x v="1"/>
    <s v="Qtr 3"/>
    <x v="7"/>
    <x v="19"/>
    <n v="186703.88796999998"/>
  </r>
  <r>
    <x v="1"/>
    <s v="Qtr 3"/>
    <x v="7"/>
    <x v="20"/>
    <n v="192985.43876499988"/>
  </r>
  <r>
    <x v="1"/>
    <s v="Qtr 3"/>
    <x v="7"/>
    <x v="21"/>
    <n v="185301.86649499997"/>
  </r>
  <r>
    <x v="1"/>
    <s v="Qtr 3"/>
    <x v="7"/>
    <x v="22"/>
    <n v="188859.27188499997"/>
  </r>
  <r>
    <x v="1"/>
    <s v="Qtr 3"/>
    <x v="7"/>
    <x v="23"/>
    <n v="374260.93600999977"/>
  </r>
  <r>
    <x v="1"/>
    <s v="Qtr 3"/>
    <x v="7"/>
    <x v="24"/>
    <n v="384565.37220499996"/>
  </r>
  <r>
    <x v="1"/>
    <s v="Qtr 3"/>
    <x v="7"/>
    <x v="25"/>
    <n v="205622.74270000003"/>
  </r>
  <r>
    <x v="1"/>
    <s v="Qtr 3"/>
    <x v="7"/>
    <x v="26"/>
    <n v="195587.63635000002"/>
  </r>
  <r>
    <x v="1"/>
    <s v="Qtr 3"/>
    <x v="7"/>
    <x v="27"/>
    <n v="184158.70243000003"/>
  </r>
  <r>
    <x v="1"/>
    <s v="Qtr 3"/>
    <x v="7"/>
    <x v="28"/>
    <n v="197019.81963999991"/>
  </r>
  <r>
    <x v="1"/>
    <s v="Qtr 3"/>
    <x v="7"/>
    <x v="29"/>
    <n v="190054.67268499988"/>
  </r>
  <r>
    <x v="1"/>
    <s v="Qtr 3"/>
    <x v="7"/>
    <x v="30"/>
    <n v="382961.50217499962"/>
  </r>
  <r>
    <x v="1"/>
    <s v="Qtr 3"/>
    <x v="8"/>
    <x v="0"/>
    <n v="879979.63590599713"/>
  </r>
  <r>
    <x v="1"/>
    <s v="Qtr 3"/>
    <x v="8"/>
    <x v="1"/>
    <n v="618914.25206099672"/>
  </r>
  <r>
    <x v="1"/>
    <s v="Qtr 3"/>
    <x v="8"/>
    <x v="2"/>
    <n v="448771.8817410004"/>
  </r>
  <r>
    <x v="1"/>
    <s v="Qtr 3"/>
    <x v="8"/>
    <x v="3"/>
    <n v="437509.17545500014"/>
  </r>
  <r>
    <x v="1"/>
    <s v="Qtr 3"/>
    <x v="8"/>
    <x v="4"/>
    <n v="462117.54464300041"/>
  </r>
  <r>
    <x v="1"/>
    <s v="Qtr 3"/>
    <x v="8"/>
    <x v="5"/>
    <n v="469843.97377800016"/>
  </r>
  <r>
    <x v="1"/>
    <s v="Qtr 3"/>
    <x v="8"/>
    <x v="6"/>
    <n v="929361.84687499551"/>
  </r>
  <r>
    <x v="1"/>
    <s v="Qtr 3"/>
    <x v="8"/>
    <x v="7"/>
    <n v="920081.81639999594"/>
  </r>
  <r>
    <x v="1"/>
    <s v="Qtr 3"/>
    <x v="8"/>
    <x v="8"/>
    <n v="498934.51822499995"/>
  </r>
  <r>
    <x v="1"/>
    <s v="Qtr 3"/>
    <x v="8"/>
    <x v="9"/>
    <n v="438286.75536200003"/>
  </r>
  <r>
    <x v="1"/>
    <s v="Qtr 3"/>
    <x v="8"/>
    <x v="10"/>
    <n v="455102.85175199999"/>
  </r>
  <r>
    <x v="1"/>
    <s v="Qtr 3"/>
    <x v="8"/>
    <x v="11"/>
    <n v="475229.18833200011"/>
  </r>
  <r>
    <x v="1"/>
    <s v="Qtr 3"/>
    <x v="8"/>
    <x v="12"/>
    <n v="465096.78226500028"/>
  </r>
  <r>
    <x v="1"/>
    <s v="Qtr 3"/>
    <x v="8"/>
    <x v="13"/>
    <n v="939554.51768799615"/>
  </r>
  <r>
    <x v="1"/>
    <s v="Qtr 3"/>
    <x v="8"/>
    <x v="14"/>
    <n v="904181.91642399749"/>
  </r>
  <r>
    <x v="1"/>
    <s v="Qtr 3"/>
    <x v="8"/>
    <x v="15"/>
    <n v="350262.17176599987"/>
  </r>
  <r>
    <x v="1"/>
    <s v="Qtr 3"/>
    <x v="8"/>
    <x v="16"/>
    <n v="514171.33225100028"/>
  </r>
  <r>
    <x v="1"/>
    <s v="Qtr 3"/>
    <x v="8"/>
    <x v="17"/>
    <n v="350671.77741399984"/>
  </r>
  <r>
    <x v="1"/>
    <s v="Qtr 3"/>
    <x v="8"/>
    <x v="18"/>
    <n v="347671.13575899997"/>
  </r>
  <r>
    <x v="1"/>
    <s v="Qtr 3"/>
    <x v="8"/>
    <x v="19"/>
    <n v="357051.42364399997"/>
  </r>
  <r>
    <x v="1"/>
    <s v="Qtr 3"/>
    <x v="8"/>
    <x v="20"/>
    <n v="693153.43495499983"/>
  </r>
  <r>
    <x v="1"/>
    <s v="Qtr 3"/>
    <x v="8"/>
    <x v="21"/>
    <n v="687462.77322499955"/>
  </r>
  <r>
    <x v="1"/>
    <s v="Qtr 3"/>
    <x v="8"/>
    <x v="22"/>
    <n v="350515.28147199977"/>
  </r>
  <r>
    <x v="1"/>
    <s v="Qtr 3"/>
    <x v="8"/>
    <x v="23"/>
    <n v="355154.74153900001"/>
  </r>
  <r>
    <x v="1"/>
    <s v="Qtr 3"/>
    <x v="8"/>
    <x v="24"/>
    <n v="341109.9107169999"/>
  </r>
  <r>
    <x v="1"/>
    <s v="Qtr 3"/>
    <x v="8"/>
    <x v="25"/>
    <n v="344866.87016599992"/>
  </r>
  <r>
    <x v="1"/>
    <s v="Qtr 3"/>
    <x v="8"/>
    <x v="26"/>
    <n v="350966.56367999996"/>
  </r>
  <r>
    <x v="1"/>
    <s v="Qtr 3"/>
    <x v="8"/>
    <x v="27"/>
    <n v="704684.19528800016"/>
  </r>
  <r>
    <x v="1"/>
    <s v="Qtr 3"/>
    <x v="8"/>
    <x v="28"/>
    <n v="716608.81262899993"/>
  </r>
  <r>
    <x v="1"/>
    <s v="Qtr 3"/>
    <x v="8"/>
    <x v="29"/>
    <n v="357545.28094599978"/>
  </r>
  <r>
    <x v="1"/>
    <s v="Qtr 4"/>
    <x v="9"/>
    <x v="0"/>
    <n v="618956.48098199919"/>
  </r>
  <r>
    <x v="1"/>
    <s v="Qtr 4"/>
    <x v="9"/>
    <x v="1"/>
    <n v="589938.95258599939"/>
  </r>
  <r>
    <x v="1"/>
    <s v="Qtr 4"/>
    <x v="9"/>
    <x v="2"/>
    <n v="704404.30102199863"/>
  </r>
  <r>
    <x v="1"/>
    <s v="Qtr 4"/>
    <x v="9"/>
    <x v="3"/>
    <n v="424221.02092400007"/>
  </r>
  <r>
    <x v="1"/>
    <s v="Qtr 4"/>
    <x v="9"/>
    <x v="4"/>
    <n v="1042354.2097410002"/>
  </r>
  <r>
    <x v="1"/>
    <s v="Qtr 4"/>
    <x v="9"/>
    <x v="5"/>
    <n v="912216.93709899776"/>
  </r>
  <r>
    <x v="1"/>
    <s v="Qtr 4"/>
    <x v="9"/>
    <x v="6"/>
    <n v="420901.4343329994"/>
  </r>
  <r>
    <x v="1"/>
    <s v="Qtr 4"/>
    <x v="9"/>
    <x v="7"/>
    <n v="432881.07122000016"/>
  </r>
  <r>
    <x v="1"/>
    <s v="Qtr 4"/>
    <x v="9"/>
    <x v="8"/>
    <n v="418793.32971299964"/>
  </r>
  <r>
    <x v="1"/>
    <s v="Qtr 4"/>
    <x v="9"/>
    <x v="9"/>
    <n v="448694.61801299965"/>
  </r>
  <r>
    <x v="1"/>
    <s v="Qtr 4"/>
    <x v="9"/>
    <x v="10"/>
    <n v="333141.10257999983"/>
  </r>
  <r>
    <x v="1"/>
    <s v="Qtr 4"/>
    <x v="9"/>
    <x v="11"/>
    <n v="669879.58618499909"/>
  </r>
  <r>
    <x v="1"/>
    <s v="Qtr 4"/>
    <x v="9"/>
    <x v="12"/>
    <n v="700678.58434799954"/>
  </r>
  <r>
    <x v="1"/>
    <s v="Qtr 4"/>
    <x v="9"/>
    <x v="13"/>
    <n v="486392.89335999964"/>
  </r>
  <r>
    <x v="1"/>
    <s v="Qtr 4"/>
    <x v="9"/>
    <x v="14"/>
    <n v="331905.82180999982"/>
  </r>
  <r>
    <x v="1"/>
    <s v="Qtr 4"/>
    <x v="9"/>
    <x v="15"/>
    <n v="341684.71012999985"/>
  </r>
  <r>
    <x v="1"/>
    <s v="Qtr 4"/>
    <x v="9"/>
    <x v="16"/>
    <n v="330530.99830999976"/>
  </r>
  <r>
    <x v="1"/>
    <s v="Qtr 4"/>
    <x v="9"/>
    <x v="17"/>
    <n v="339269.21595999983"/>
  </r>
  <r>
    <x v="1"/>
    <s v="Qtr 4"/>
    <x v="9"/>
    <x v="18"/>
    <n v="673275.8198399992"/>
  </r>
  <r>
    <x v="1"/>
    <s v="Qtr 4"/>
    <x v="9"/>
    <x v="19"/>
    <n v="687260.64102999936"/>
  </r>
  <r>
    <x v="1"/>
    <s v="Qtr 4"/>
    <x v="9"/>
    <x v="20"/>
    <n v="327623.10390999971"/>
  </r>
  <r>
    <x v="1"/>
    <s v="Qtr 4"/>
    <x v="9"/>
    <x v="21"/>
    <n v="347560.08712999983"/>
  </r>
  <r>
    <x v="1"/>
    <s v="Qtr 4"/>
    <x v="9"/>
    <x v="22"/>
    <n v="338703.93155999971"/>
  </r>
  <r>
    <x v="1"/>
    <s v="Qtr 4"/>
    <x v="9"/>
    <x v="23"/>
    <n v="324151.1750899998"/>
  </r>
  <r>
    <x v="1"/>
    <s v="Qtr 4"/>
    <x v="9"/>
    <x v="24"/>
    <n v="333703.21888"/>
  </r>
  <r>
    <x v="1"/>
    <s v="Qtr 4"/>
    <x v="9"/>
    <x v="25"/>
    <n v="655288.44184999948"/>
  </r>
  <r>
    <x v="1"/>
    <s v="Qtr 4"/>
    <x v="9"/>
    <x v="26"/>
    <n v="687873.83283999993"/>
  </r>
  <r>
    <x v="1"/>
    <s v="Qtr 4"/>
    <x v="9"/>
    <x v="27"/>
    <n v="328843.87436000007"/>
  </r>
  <r>
    <x v="1"/>
    <s v="Qtr 4"/>
    <x v="9"/>
    <x v="28"/>
    <n v="327590.45058999973"/>
  </r>
  <r>
    <x v="1"/>
    <s v="Qtr 4"/>
    <x v="9"/>
    <x v="29"/>
    <n v="330675.17422999983"/>
  </r>
  <r>
    <x v="1"/>
    <s v="Qtr 4"/>
    <x v="9"/>
    <x v="30"/>
    <n v="326281.87448999984"/>
  </r>
  <r>
    <x v="1"/>
    <s v="Qtr 4"/>
    <x v="10"/>
    <x v="0"/>
    <n v="383584.69207999995"/>
  </r>
  <r>
    <x v="1"/>
    <s v="Qtr 4"/>
    <x v="10"/>
    <x v="1"/>
    <n v="570033.04478999972"/>
  </r>
  <r>
    <x v="1"/>
    <s v="Qtr 4"/>
    <x v="10"/>
    <x v="2"/>
    <n v="558479.13056999946"/>
  </r>
  <r>
    <x v="1"/>
    <s v="Qtr 4"/>
    <x v="10"/>
    <x v="3"/>
    <n v="281349.98994999996"/>
  </r>
  <r>
    <x v="1"/>
    <s v="Qtr 4"/>
    <x v="10"/>
    <x v="4"/>
    <n v="271671.62543000007"/>
  </r>
  <r>
    <x v="1"/>
    <s v="Qtr 4"/>
    <x v="10"/>
    <x v="5"/>
    <n v="288397.74159999978"/>
  </r>
  <r>
    <x v="1"/>
    <s v="Qtr 4"/>
    <x v="10"/>
    <x v="6"/>
    <n v="267408.02342999994"/>
  </r>
  <r>
    <x v="1"/>
    <s v="Qtr 4"/>
    <x v="10"/>
    <x v="7"/>
    <n v="286396.73429999989"/>
  </r>
  <r>
    <x v="1"/>
    <s v="Qtr 4"/>
    <x v="10"/>
    <x v="8"/>
    <n v="564901.69644999946"/>
  </r>
  <r>
    <x v="1"/>
    <s v="Qtr 4"/>
    <x v="10"/>
    <x v="9"/>
    <n v="573402.13814999955"/>
  </r>
  <r>
    <x v="1"/>
    <s v="Qtr 4"/>
    <x v="10"/>
    <x v="10"/>
    <n v="428861.17554999969"/>
  </r>
  <r>
    <x v="1"/>
    <s v="Qtr 4"/>
    <x v="10"/>
    <x v="11"/>
    <n v="290423.37619999988"/>
  </r>
  <r>
    <x v="1"/>
    <s v="Qtr 4"/>
    <x v="10"/>
    <x v="12"/>
    <n v="283118.90699999989"/>
  </r>
  <r>
    <x v="1"/>
    <s v="Qtr 4"/>
    <x v="10"/>
    <x v="13"/>
    <n v="288232.72284999985"/>
  </r>
  <r>
    <x v="1"/>
    <s v="Qtr 4"/>
    <x v="10"/>
    <x v="14"/>
    <n v="276958.27209999989"/>
  </r>
  <r>
    <x v="1"/>
    <s v="Qtr 4"/>
    <x v="10"/>
    <x v="15"/>
    <n v="586414.8312999995"/>
  </r>
  <r>
    <x v="1"/>
    <s v="Qtr 4"/>
    <x v="10"/>
    <x v="16"/>
    <n v="550937.1698999994"/>
  </r>
  <r>
    <x v="1"/>
    <s v="Qtr 4"/>
    <x v="10"/>
    <x v="17"/>
    <n v="281742.52554999985"/>
  </r>
  <r>
    <x v="1"/>
    <s v="Qtr 4"/>
    <x v="10"/>
    <x v="18"/>
    <n v="271893.88269999984"/>
  </r>
  <r>
    <x v="1"/>
    <s v="Qtr 4"/>
    <x v="10"/>
    <x v="19"/>
    <n v="280336.83849999984"/>
  </r>
  <r>
    <x v="1"/>
    <s v="Qtr 4"/>
    <x v="10"/>
    <x v="20"/>
    <n v="280596.52084999997"/>
  </r>
  <r>
    <x v="1"/>
    <s v="Qtr 4"/>
    <x v="10"/>
    <x v="21"/>
    <n v="297017.52854999981"/>
  </r>
  <r>
    <x v="1"/>
    <s v="Qtr 4"/>
    <x v="10"/>
    <x v="22"/>
    <n v="535796.76469999913"/>
  </r>
  <r>
    <x v="1"/>
    <s v="Qtr 4"/>
    <x v="10"/>
    <x v="23"/>
    <n v="571823.97159999923"/>
  </r>
  <r>
    <x v="1"/>
    <s v="Qtr 4"/>
    <x v="10"/>
    <x v="24"/>
    <n v="275305.45124999993"/>
  </r>
  <r>
    <x v="1"/>
    <s v="Qtr 4"/>
    <x v="10"/>
    <x v="25"/>
    <n v="283598.15865000006"/>
  </r>
  <r>
    <x v="1"/>
    <s v="Qtr 4"/>
    <x v="10"/>
    <x v="26"/>
    <n v="405111.1899199991"/>
  </r>
  <r>
    <x v="1"/>
    <s v="Qtr 4"/>
    <x v="10"/>
    <x v="27"/>
    <n v="386574.64189999993"/>
  </r>
  <r>
    <x v="1"/>
    <s v="Qtr 4"/>
    <x v="10"/>
    <x v="28"/>
    <n v="295432.70905999996"/>
  </r>
  <r>
    <x v="1"/>
    <s v="Qtr 4"/>
    <x v="10"/>
    <x v="29"/>
    <n v="561266.53823999933"/>
  </r>
  <r>
    <x v="1"/>
    <s v="Qtr 4"/>
    <x v="11"/>
    <x v="0"/>
    <n v="1210521.4339099992"/>
  </r>
  <r>
    <x v="1"/>
    <s v="Qtr 4"/>
    <x v="11"/>
    <x v="1"/>
    <n v="497355.4720699999"/>
  </r>
  <r>
    <x v="1"/>
    <s v="Qtr 4"/>
    <x v="11"/>
    <x v="2"/>
    <n v="499110.31122000003"/>
  </r>
  <r>
    <x v="1"/>
    <s v="Qtr 4"/>
    <x v="11"/>
    <x v="3"/>
    <n v="516325.56221999967"/>
  </r>
  <r>
    <x v="1"/>
    <s v="Qtr 4"/>
    <x v="11"/>
    <x v="4"/>
    <n v="519659.46974999993"/>
  </r>
  <r>
    <x v="1"/>
    <s v="Qtr 4"/>
    <x v="11"/>
    <x v="5"/>
    <n v="526968.28333999997"/>
  </r>
  <r>
    <x v="1"/>
    <s v="Qtr 4"/>
    <x v="11"/>
    <x v="6"/>
    <n v="1049745.0717300011"/>
  </r>
  <r>
    <x v="1"/>
    <s v="Qtr 4"/>
    <x v="11"/>
    <x v="7"/>
    <n v="1284723.4628700025"/>
  </r>
  <r>
    <x v="1"/>
    <s v="Qtr 4"/>
    <x v="11"/>
    <x v="8"/>
    <n v="524928.40995999973"/>
  </r>
  <r>
    <x v="1"/>
    <s v="Qtr 4"/>
    <x v="11"/>
    <x v="9"/>
    <n v="536537.16624999978"/>
  </r>
  <r>
    <x v="1"/>
    <s v="Qtr 4"/>
    <x v="11"/>
    <x v="10"/>
    <n v="505157.23600999953"/>
  </r>
  <r>
    <x v="1"/>
    <s v="Qtr 4"/>
    <x v="11"/>
    <x v="11"/>
    <n v="516735.3674300001"/>
  </r>
  <r>
    <x v="1"/>
    <s v="Qtr 4"/>
    <x v="11"/>
    <x v="12"/>
    <n v="517705.0597300001"/>
  </r>
  <r>
    <x v="1"/>
    <s v="Qtr 4"/>
    <x v="11"/>
    <x v="13"/>
    <n v="953346.73708999925"/>
  </r>
  <r>
    <x v="1"/>
    <s v="Qtr 4"/>
    <x v="11"/>
    <x v="14"/>
    <n v="1025543.5698800016"/>
  </r>
  <r>
    <x v="1"/>
    <s v="Qtr 4"/>
    <x v="11"/>
    <x v="15"/>
    <n v="511296.2093499999"/>
  </r>
  <r>
    <x v="1"/>
    <s v="Qtr 4"/>
    <x v="11"/>
    <x v="16"/>
    <n v="494712.44316999987"/>
  </r>
  <r>
    <x v="1"/>
    <s v="Qtr 4"/>
    <x v="11"/>
    <x v="17"/>
    <n v="509168.58332000003"/>
  </r>
  <r>
    <x v="1"/>
    <s v="Qtr 4"/>
    <x v="11"/>
    <x v="18"/>
    <n v="517738.43238999939"/>
  </r>
  <r>
    <x v="1"/>
    <s v="Qtr 4"/>
    <x v="11"/>
    <x v="19"/>
    <n v="754053.94917500066"/>
  </r>
  <r>
    <x v="1"/>
    <s v="Qtr 4"/>
    <x v="11"/>
    <x v="20"/>
    <n v="1437657.4105550034"/>
  </r>
  <r>
    <x v="1"/>
    <s v="Qtr 4"/>
    <x v="11"/>
    <x v="21"/>
    <n v="1669952.0579999993"/>
  </r>
  <r>
    <x v="1"/>
    <s v="Qtr 4"/>
    <x v="11"/>
    <x v="22"/>
    <n v="818951.26475000067"/>
  </r>
  <r>
    <x v="1"/>
    <s v="Qtr 4"/>
    <x v="11"/>
    <x v="23"/>
    <n v="777030.03044999996"/>
  </r>
  <r>
    <x v="1"/>
    <s v="Qtr 4"/>
    <x v="11"/>
    <x v="24"/>
    <n v="1626835.3394250015"/>
  </r>
  <r>
    <x v="1"/>
    <s v="Qtr 4"/>
    <x v="11"/>
    <x v="25"/>
    <n v="972160.66134999925"/>
  </r>
  <r>
    <x v="1"/>
    <s v="Qtr 4"/>
    <x v="11"/>
    <x v="26"/>
    <n v="764563.61160000041"/>
  </r>
  <r>
    <x v="1"/>
    <s v="Qtr 4"/>
    <x v="11"/>
    <x v="27"/>
    <n v="1536923.7971750016"/>
  </r>
  <r>
    <x v="1"/>
    <s v="Qtr 4"/>
    <x v="11"/>
    <x v="28"/>
    <n v="1453799.5478500021"/>
  </r>
  <r>
    <x v="1"/>
    <s v="Qtr 4"/>
    <x v="11"/>
    <x v="29"/>
    <n v="840873.58712500136"/>
  </r>
  <r>
    <x v="1"/>
    <s v="Qtr 4"/>
    <x v="11"/>
    <x v="30"/>
    <n v="812162.7027500018"/>
  </r>
  <r>
    <x v="2"/>
    <s v="Qtr 1"/>
    <x v="0"/>
    <x v="0"/>
    <n v="439310.92124300002"/>
  </r>
  <r>
    <x v="2"/>
    <s v="Qtr 1"/>
    <x v="0"/>
    <x v="1"/>
    <n v="182527.25270300003"/>
  </r>
  <r>
    <x v="2"/>
    <s v="Qtr 1"/>
    <x v="0"/>
    <x v="2"/>
    <n v="170630.3835599999"/>
  </r>
  <r>
    <x v="2"/>
    <s v="Qtr 1"/>
    <x v="0"/>
    <x v="3"/>
    <n v="368465.57672500011"/>
  </r>
  <r>
    <x v="2"/>
    <s v="Qtr 1"/>
    <x v="0"/>
    <x v="4"/>
    <n v="363154.89568200009"/>
  </r>
  <r>
    <x v="2"/>
    <s v="Qtr 1"/>
    <x v="0"/>
    <x v="5"/>
    <n v="180530.77115199988"/>
  </r>
  <r>
    <x v="2"/>
    <s v="Qtr 1"/>
    <x v="0"/>
    <x v="6"/>
    <n v="169698.01265099991"/>
  </r>
  <r>
    <x v="2"/>
    <s v="Qtr 1"/>
    <x v="0"/>
    <x v="7"/>
    <n v="189606.28572899991"/>
  </r>
  <r>
    <x v="2"/>
    <s v="Qtr 1"/>
    <x v="0"/>
    <x v="8"/>
    <n v="180539.40784399988"/>
  </r>
  <r>
    <x v="2"/>
    <s v="Qtr 1"/>
    <x v="0"/>
    <x v="9"/>
    <n v="174913.61680099994"/>
  </r>
  <r>
    <x v="2"/>
    <s v="Qtr 1"/>
    <x v="0"/>
    <x v="10"/>
    <n v="272769.34758900013"/>
  </r>
  <r>
    <x v="2"/>
    <s v="Qtr 1"/>
    <x v="0"/>
    <x v="11"/>
    <n v="267554.06625200005"/>
  </r>
  <r>
    <x v="2"/>
    <s v="Qtr 1"/>
    <x v="0"/>
    <x v="12"/>
    <n v="133993.30912999995"/>
  </r>
  <r>
    <x v="2"/>
    <s v="Qtr 1"/>
    <x v="0"/>
    <x v="13"/>
    <n v="138401.56402099994"/>
  </r>
  <r>
    <x v="2"/>
    <s v="Qtr 1"/>
    <x v="0"/>
    <x v="14"/>
    <n v="133788.19940399998"/>
  </r>
  <r>
    <x v="2"/>
    <s v="Qtr 1"/>
    <x v="0"/>
    <x v="15"/>
    <n v="144941.424527"/>
  </r>
  <r>
    <x v="2"/>
    <s v="Qtr 1"/>
    <x v="0"/>
    <x v="16"/>
    <n v="137783.27577000001"/>
  </r>
  <r>
    <x v="2"/>
    <s v="Qtr 1"/>
    <x v="0"/>
    <x v="17"/>
    <n v="280646.98429500009"/>
  </r>
  <r>
    <x v="2"/>
    <s v="Qtr 1"/>
    <x v="0"/>
    <x v="18"/>
    <n v="269288.54604400008"/>
  </r>
  <r>
    <x v="2"/>
    <s v="Qtr 1"/>
    <x v="0"/>
    <x v="19"/>
    <n v="199154.46810899995"/>
  </r>
  <r>
    <x v="2"/>
    <s v="Qtr 1"/>
    <x v="0"/>
    <x v="20"/>
    <n v="130663.558857"/>
  </r>
  <r>
    <x v="2"/>
    <s v="Qtr 1"/>
    <x v="0"/>
    <x v="21"/>
    <n v="132600.29419500002"/>
  </r>
  <r>
    <x v="2"/>
    <s v="Qtr 1"/>
    <x v="0"/>
    <x v="22"/>
    <n v="134639.09831600002"/>
  </r>
  <r>
    <x v="2"/>
    <s v="Qtr 1"/>
    <x v="0"/>
    <x v="23"/>
    <n v="131786.22341100001"/>
  </r>
  <r>
    <x v="2"/>
    <s v="Qtr 1"/>
    <x v="0"/>
    <x v="24"/>
    <n v="272216.13044900005"/>
  </r>
  <r>
    <x v="2"/>
    <s v="Qtr 1"/>
    <x v="0"/>
    <x v="25"/>
    <n v="268517.71387599997"/>
  </r>
  <r>
    <x v="2"/>
    <s v="Qtr 1"/>
    <x v="0"/>
    <x v="26"/>
    <n v="134303.769956"/>
  </r>
  <r>
    <x v="2"/>
    <s v="Qtr 1"/>
    <x v="0"/>
    <x v="27"/>
    <n v="134908.77521999998"/>
  </r>
  <r>
    <x v="2"/>
    <s v="Qtr 1"/>
    <x v="0"/>
    <x v="28"/>
    <n v="175498.26184400002"/>
  </r>
  <r>
    <x v="2"/>
    <s v="Qtr 1"/>
    <x v="0"/>
    <x v="29"/>
    <n v="137088.80324299997"/>
  </r>
  <r>
    <x v="2"/>
    <s v="Qtr 1"/>
    <x v="0"/>
    <x v="30"/>
    <n v="146389.09629899997"/>
  </r>
  <r>
    <x v="2"/>
    <s v="Qtr 1"/>
    <x v="1"/>
    <x v="0"/>
    <n v="308257.88266000012"/>
  </r>
  <r>
    <x v="2"/>
    <s v="Qtr 1"/>
    <x v="1"/>
    <x v="1"/>
    <n v="291678.34212100005"/>
  </r>
  <r>
    <x v="2"/>
    <s v="Qtr 1"/>
    <x v="1"/>
    <x v="2"/>
    <n v="142008.79718299999"/>
  </r>
  <r>
    <x v="2"/>
    <s v="Qtr 1"/>
    <x v="1"/>
    <x v="3"/>
    <n v="142796.483611"/>
  </r>
  <r>
    <x v="2"/>
    <s v="Qtr 1"/>
    <x v="1"/>
    <x v="4"/>
    <n v="155030.83870300004"/>
  </r>
  <r>
    <x v="2"/>
    <s v="Qtr 1"/>
    <x v="1"/>
    <x v="5"/>
    <n v="149364.21895899996"/>
  </r>
  <r>
    <x v="2"/>
    <s v="Qtr 1"/>
    <x v="1"/>
    <x v="6"/>
    <n v="143398.69868999993"/>
  </r>
  <r>
    <x v="2"/>
    <s v="Qtr 1"/>
    <x v="1"/>
    <x v="7"/>
    <n v="297732.079623"/>
  </r>
  <r>
    <x v="2"/>
    <s v="Qtr 1"/>
    <x v="1"/>
    <x v="8"/>
    <n v="289442.37778500008"/>
  </r>
  <r>
    <x v="2"/>
    <s v="Qtr 1"/>
    <x v="1"/>
    <x v="9"/>
    <n v="146701.86806000001"/>
  </r>
  <r>
    <x v="2"/>
    <s v="Qtr 1"/>
    <x v="1"/>
    <x v="10"/>
    <n v="146335.81993000006"/>
  </r>
  <r>
    <x v="2"/>
    <s v="Qtr 1"/>
    <x v="1"/>
    <x v="11"/>
    <n v="150885.73556500001"/>
  </r>
  <r>
    <x v="2"/>
    <s v="Qtr 1"/>
    <x v="1"/>
    <x v="12"/>
    <n v="137967.55220999997"/>
  </r>
  <r>
    <x v="2"/>
    <s v="Qtr 1"/>
    <x v="1"/>
    <x v="13"/>
    <n v="138191.07456000001"/>
  </r>
  <r>
    <x v="2"/>
    <s v="Qtr 1"/>
    <x v="1"/>
    <x v="14"/>
    <n v="283368.29148000007"/>
  </r>
  <r>
    <x v="2"/>
    <s v="Qtr 1"/>
    <x v="1"/>
    <x v="15"/>
    <n v="282014.94547000004"/>
  </r>
  <r>
    <x v="2"/>
    <s v="Qtr 1"/>
    <x v="1"/>
    <x v="16"/>
    <n v="224680.73296500003"/>
  </r>
  <r>
    <x v="2"/>
    <s v="Qtr 1"/>
    <x v="1"/>
    <x v="17"/>
    <n v="145516.48525"/>
  </r>
  <r>
    <x v="2"/>
    <s v="Qtr 1"/>
    <x v="1"/>
    <x v="18"/>
    <n v="138267.34641499986"/>
  </r>
  <r>
    <x v="2"/>
    <s v="Qtr 1"/>
    <x v="1"/>
    <x v="19"/>
    <n v="136327.86430999995"/>
  </r>
  <r>
    <x v="2"/>
    <s v="Qtr 1"/>
    <x v="1"/>
    <x v="20"/>
    <n v="150943.34061499996"/>
  </r>
  <r>
    <x v="2"/>
    <s v="Qtr 1"/>
    <x v="1"/>
    <x v="21"/>
    <n v="283437.29136999993"/>
  </r>
  <r>
    <x v="2"/>
    <s v="Qtr 1"/>
    <x v="1"/>
    <x v="22"/>
    <n v="293284.4338750001"/>
  </r>
  <r>
    <x v="2"/>
    <s v="Qtr 1"/>
    <x v="1"/>
    <x v="23"/>
    <n v="149465.98858000003"/>
  </r>
  <r>
    <x v="2"/>
    <s v="Qtr 1"/>
    <x v="1"/>
    <x v="24"/>
    <n v="145499.69991"/>
  </r>
  <r>
    <x v="2"/>
    <s v="Qtr 1"/>
    <x v="1"/>
    <x v="25"/>
    <n v="144271.84915499997"/>
  </r>
  <r>
    <x v="2"/>
    <s v="Qtr 1"/>
    <x v="1"/>
    <x v="26"/>
    <n v="147374.40855999998"/>
  </r>
  <r>
    <x v="2"/>
    <s v="Qtr 1"/>
    <x v="1"/>
    <x v="27"/>
    <n v="141733.22176499997"/>
  </r>
  <r>
    <x v="2"/>
    <s v="Qtr 1"/>
    <x v="2"/>
    <x v="0"/>
    <n v="569204.77244499966"/>
  </r>
  <r>
    <x v="2"/>
    <s v="Qtr 1"/>
    <x v="2"/>
    <x v="1"/>
    <n v="570206.28109499998"/>
  </r>
  <r>
    <x v="2"/>
    <s v="Qtr 1"/>
    <x v="2"/>
    <x v="2"/>
    <n v="293330.25910999987"/>
  </r>
  <r>
    <x v="2"/>
    <s v="Qtr 1"/>
    <x v="2"/>
    <x v="3"/>
    <n v="285818.20677999995"/>
  </r>
  <r>
    <x v="2"/>
    <s v="Qtr 1"/>
    <x v="2"/>
    <x v="4"/>
    <n v="287759.27788999985"/>
  </r>
  <r>
    <x v="2"/>
    <s v="Qtr 1"/>
    <x v="2"/>
    <x v="5"/>
    <n v="290344.99801999971"/>
  </r>
  <r>
    <x v="2"/>
    <s v="Qtr 1"/>
    <x v="2"/>
    <x v="6"/>
    <n v="290851.45121499995"/>
  </r>
  <r>
    <x v="2"/>
    <s v="Qtr 1"/>
    <x v="2"/>
    <x v="7"/>
    <n v="570645.58664499992"/>
  </r>
  <r>
    <x v="2"/>
    <s v="Qtr 1"/>
    <x v="2"/>
    <x v="8"/>
    <n v="574913.22853999957"/>
  </r>
  <r>
    <x v="2"/>
    <s v="Qtr 1"/>
    <x v="2"/>
    <x v="9"/>
    <n v="283041.76946499984"/>
  </r>
  <r>
    <x v="2"/>
    <s v="Qtr 1"/>
    <x v="2"/>
    <x v="10"/>
    <n v="285396.1824799999"/>
  </r>
  <r>
    <x v="2"/>
    <s v="Qtr 1"/>
    <x v="2"/>
    <x v="11"/>
    <n v="298777.08357999998"/>
  </r>
  <r>
    <x v="2"/>
    <s v="Qtr 1"/>
    <x v="2"/>
    <x v="12"/>
    <n v="284073.23027499998"/>
  </r>
  <r>
    <x v="2"/>
    <s v="Qtr 1"/>
    <x v="2"/>
    <x v="13"/>
    <n v="303688.02512499993"/>
  </r>
  <r>
    <x v="2"/>
    <s v="Qtr 1"/>
    <x v="2"/>
    <x v="14"/>
    <n v="726645.09762800019"/>
  </r>
  <r>
    <x v="2"/>
    <s v="Qtr 1"/>
    <x v="2"/>
    <x v="15"/>
    <n v="750038.08454499976"/>
  </r>
  <r>
    <x v="2"/>
    <s v="Qtr 1"/>
    <x v="2"/>
    <x v="16"/>
    <n v="360630.76082100009"/>
  </r>
  <r>
    <x v="2"/>
    <s v="Qtr 1"/>
    <x v="2"/>
    <x v="17"/>
    <n v="351583.997028000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618C8A-A275-4235-9D86-3D36ABE87481}"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27" firstHeaderRow="0" firstDataRow="1" firstDataCol="2"/>
  <pivotFields count="10">
    <pivotField compact="0" outline="0" showAll="0"/>
    <pivotField compact="0" outline="0" showAll="0"/>
    <pivotField axis="axisRow" compact="0" outline="0" showAll="0">
      <items count="8">
        <item x="1"/>
        <item x="4"/>
        <item x="2"/>
        <item x="6"/>
        <item x="5"/>
        <item x="3"/>
        <item x="0"/>
        <item t="default"/>
      </items>
    </pivotField>
    <pivotField compact="0" outline="0" showAll="0"/>
    <pivotField compact="0" outline="0" showAll="0"/>
    <pivotField axis="axisRow" compact="0" outline="0" showAll="0">
      <items count="4">
        <item x="0"/>
        <item x="2"/>
        <item x="1"/>
        <item t="default"/>
      </items>
    </pivotField>
    <pivotField dataField="1" compact="0" numFmtId="165" outline="0" showAll="0"/>
    <pivotField dataField="1" compact="0" numFmtId="164" outline="0" showAll="0"/>
    <pivotField dataField="1" compact="0" numFmtId="164" outline="0" showAll="0"/>
    <pivotField compact="0" numFmtId="10" outline="0" showAll="0"/>
  </pivotFields>
  <rowFields count="2">
    <field x="2"/>
    <field x="5"/>
  </rowFields>
  <rowItems count="24">
    <i>
      <x/>
      <x/>
    </i>
    <i r="1">
      <x v="1"/>
    </i>
    <i r="1">
      <x v="2"/>
    </i>
    <i t="default">
      <x/>
    </i>
    <i>
      <x v="1"/>
      <x v="1"/>
    </i>
    <i r="1">
      <x v="2"/>
    </i>
    <i t="default">
      <x v="1"/>
    </i>
    <i>
      <x v="2"/>
      <x/>
    </i>
    <i r="1">
      <x v="1"/>
    </i>
    <i r="1">
      <x v="2"/>
    </i>
    <i t="default">
      <x v="2"/>
    </i>
    <i>
      <x v="3"/>
      <x v="1"/>
    </i>
    <i r="1">
      <x v="2"/>
    </i>
    <i t="default">
      <x v="3"/>
    </i>
    <i>
      <x v="4"/>
      <x v="1"/>
    </i>
    <i r="1">
      <x v="2"/>
    </i>
    <i t="default">
      <x v="4"/>
    </i>
    <i>
      <x v="5"/>
      <x v="2"/>
    </i>
    <i t="default">
      <x v="5"/>
    </i>
    <i>
      <x v="6"/>
      <x/>
    </i>
    <i r="1">
      <x v="1"/>
    </i>
    <i r="1">
      <x v="2"/>
    </i>
    <i t="default">
      <x v="6"/>
    </i>
    <i t="grand">
      <x/>
    </i>
  </rowItems>
  <colFields count="1">
    <field x="-2"/>
  </colFields>
  <colItems count="3">
    <i>
      <x/>
    </i>
    <i i="1">
      <x v="1"/>
    </i>
    <i i="2">
      <x v="2"/>
    </i>
  </colItems>
  <dataFields count="3">
    <dataField name="  Quantity" fld="6" baseField="0" baseItem="0" numFmtId="165"/>
    <dataField name=" Total Sales USD" fld="7" baseField="0" baseItem="0" numFmtId="164"/>
    <dataField name=" Total Profit" fld="8" baseField="0" baseItem="0" numFmtId="164"/>
  </dataFields>
  <formats count="15">
    <format dxfId="60">
      <pivotArea type="all" dataOnly="0" outline="0" fieldPosition="0"/>
    </format>
    <format dxfId="59">
      <pivotArea outline="0" collapsedLevelsAreSubtotals="1" fieldPosition="0"/>
    </format>
    <format dxfId="58">
      <pivotArea field="2" type="button" dataOnly="0" labelOnly="1" outline="0" axis="axisRow" fieldPosition="0"/>
    </format>
    <format dxfId="57">
      <pivotArea field="5" type="button" dataOnly="0" labelOnly="1" outline="0" axis="axisRow" fieldPosition="1"/>
    </format>
    <format dxfId="56">
      <pivotArea dataOnly="0" labelOnly="1" outline="0" fieldPosition="0">
        <references count="1">
          <reference field="2" count="0"/>
        </references>
      </pivotArea>
    </format>
    <format dxfId="55">
      <pivotArea dataOnly="0" labelOnly="1" outline="0" fieldPosition="0">
        <references count="1">
          <reference field="2" count="0" defaultSubtotal="1"/>
        </references>
      </pivotArea>
    </format>
    <format dxfId="54">
      <pivotArea dataOnly="0" labelOnly="1" grandRow="1" outline="0" fieldPosition="0"/>
    </format>
    <format dxfId="53">
      <pivotArea dataOnly="0" labelOnly="1" outline="0" fieldPosition="0">
        <references count="2">
          <reference field="2" count="1" selected="0">
            <x v="0"/>
          </reference>
          <reference field="5" count="0"/>
        </references>
      </pivotArea>
    </format>
    <format dxfId="52">
      <pivotArea dataOnly="0" labelOnly="1" outline="0" fieldPosition="0">
        <references count="2">
          <reference field="2" count="1" selected="0">
            <x v="1"/>
          </reference>
          <reference field="5" count="2">
            <x v="1"/>
            <x v="2"/>
          </reference>
        </references>
      </pivotArea>
    </format>
    <format dxfId="51">
      <pivotArea dataOnly="0" labelOnly="1" outline="0" fieldPosition="0">
        <references count="2">
          <reference field="2" count="1" selected="0">
            <x v="2"/>
          </reference>
          <reference field="5" count="0"/>
        </references>
      </pivotArea>
    </format>
    <format dxfId="50">
      <pivotArea dataOnly="0" labelOnly="1" outline="0" fieldPosition="0">
        <references count="2">
          <reference field="2" count="1" selected="0">
            <x v="3"/>
          </reference>
          <reference field="5" count="2">
            <x v="1"/>
            <x v="2"/>
          </reference>
        </references>
      </pivotArea>
    </format>
    <format dxfId="49">
      <pivotArea dataOnly="0" labelOnly="1" outline="0" fieldPosition="0">
        <references count="2">
          <reference field="2" count="1" selected="0">
            <x v="4"/>
          </reference>
          <reference field="5" count="2">
            <x v="1"/>
            <x v="2"/>
          </reference>
        </references>
      </pivotArea>
    </format>
    <format dxfId="48">
      <pivotArea dataOnly="0" labelOnly="1" outline="0" fieldPosition="0">
        <references count="2">
          <reference field="2" count="1" selected="0">
            <x v="5"/>
          </reference>
          <reference field="5" count="1">
            <x v="2"/>
          </reference>
        </references>
      </pivotArea>
    </format>
    <format dxfId="47">
      <pivotArea dataOnly="0" labelOnly="1" outline="0" fieldPosition="0">
        <references count="2">
          <reference field="2" count="1" selected="0">
            <x v="6"/>
          </reference>
          <reference field="5" count="0"/>
        </references>
      </pivotArea>
    </format>
    <format dxfId="46">
      <pivotArea dataOnly="0" labelOnly="1" outline="0" fieldPosition="0">
        <references count="1">
          <reference field="4294967294" count="3">
            <x v="0"/>
            <x v="1"/>
            <x v="2"/>
          </reference>
        </references>
      </pivotArea>
    </format>
  </formats>
  <pivotTableStyleInfo name="PivotStyleDark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1677B9-2131-48ED-B068-3BB42532D030}"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F33" firstHeaderRow="0" firstDataRow="1" firstDataCol="2"/>
  <pivotFields count="8">
    <pivotField axis="axisRow" compact="0" outline="0" showAll="0">
      <items count="4">
        <item x="0"/>
        <item x="1"/>
        <item x="2"/>
        <item t="default"/>
      </items>
    </pivotField>
    <pivotField axis="axisRow" compact="0" outline="0" showAll="0">
      <items count="22">
        <item x="0"/>
        <item x="1"/>
        <item x="2"/>
        <item x="6"/>
        <item x="7"/>
        <item x="3"/>
        <item x="8"/>
        <item x="4"/>
        <item x="9"/>
        <item x="16"/>
        <item x="10"/>
        <item x="11"/>
        <item x="12"/>
        <item x="17"/>
        <item x="13"/>
        <item x="5"/>
        <item x="14"/>
        <item x="18"/>
        <item x="19"/>
        <item x="15"/>
        <item x="20"/>
        <item t="default"/>
      </items>
    </pivotField>
    <pivotField compact="0" numFmtId="165" outline="0" showAll="0"/>
    <pivotField dataField="1" compact="0" numFmtId="164" outline="0" showAll="0"/>
    <pivotField dataField="1" compact="0" numFmtId="164" outline="0" showAll="0"/>
    <pivotField dataField="1" compact="0" numFmtId="164" outline="0" showAll="0"/>
    <pivotField compact="0" numFmtId="10" outline="0" showAll="0"/>
    <pivotField dataField="1" compact="0" outline="0" dragToRow="0" dragToCol="0" dragToPage="0" showAll="0" defaultSubtotal="0"/>
  </pivotFields>
  <rowFields count="2">
    <field x="0"/>
    <field x="1"/>
  </rowFields>
  <rowItems count="30">
    <i>
      <x/>
      <x/>
    </i>
    <i r="1">
      <x v="1"/>
    </i>
    <i r="1">
      <x v="2"/>
    </i>
    <i r="1">
      <x v="5"/>
    </i>
    <i r="1">
      <x v="7"/>
    </i>
    <i r="1">
      <x v="15"/>
    </i>
    <i t="default">
      <x/>
    </i>
    <i>
      <x v="1"/>
      <x/>
    </i>
    <i r="1">
      <x v="3"/>
    </i>
    <i r="1">
      <x v="4"/>
    </i>
    <i r="1">
      <x v="6"/>
    </i>
    <i r="1">
      <x v="8"/>
    </i>
    <i r="1">
      <x v="10"/>
    </i>
    <i r="1">
      <x v="11"/>
    </i>
    <i r="1">
      <x v="12"/>
    </i>
    <i r="1">
      <x v="14"/>
    </i>
    <i r="1">
      <x v="16"/>
    </i>
    <i r="1">
      <x v="19"/>
    </i>
    <i t="default">
      <x v="1"/>
    </i>
    <i>
      <x v="2"/>
      <x/>
    </i>
    <i r="1">
      <x v="3"/>
    </i>
    <i r="1">
      <x v="8"/>
    </i>
    <i r="1">
      <x v="9"/>
    </i>
    <i r="1">
      <x v="12"/>
    </i>
    <i r="1">
      <x v="13"/>
    </i>
    <i r="1">
      <x v="17"/>
    </i>
    <i r="1">
      <x v="18"/>
    </i>
    <i r="1">
      <x v="20"/>
    </i>
    <i t="default">
      <x v="2"/>
    </i>
    <i t="grand">
      <x/>
    </i>
  </rowItems>
  <colFields count="1">
    <field x="-2"/>
  </colFields>
  <colItems count="4">
    <i>
      <x/>
    </i>
    <i i="1">
      <x v="1"/>
    </i>
    <i i="2">
      <x v="2"/>
    </i>
    <i i="3">
      <x v="3"/>
    </i>
  </colItems>
  <dataFields count="4">
    <dataField name=" Total Sales USD" fld="3" baseField="0" baseItem="0" numFmtId="164"/>
    <dataField name=" Total Production Cost" fld="4" baseField="0" baseItem="0" numFmtId="164"/>
    <dataField name=" Total Profit" fld="5" baseField="0" baseItem="0" numFmtId="164"/>
    <dataField name=" Profit Margin %" fld="7" baseField="0" baseItem="0" numFmtId="164"/>
  </dataFields>
  <formats count="9">
    <format dxfId="45">
      <pivotArea type="all" dataOnly="0" outline="0" fieldPosition="0"/>
    </format>
    <format dxfId="44">
      <pivotArea outline="0" collapsedLevelsAreSubtotals="1" fieldPosition="0"/>
    </format>
    <format dxfId="43">
      <pivotArea field="0" type="button" dataOnly="0" labelOnly="1" outline="0" axis="axisRow" fieldPosition="0"/>
    </format>
    <format dxfId="42">
      <pivotArea dataOnly="0" labelOnly="1" fieldPosition="0">
        <references count="1">
          <reference field="0" count="0"/>
        </references>
      </pivotArea>
    </format>
    <format dxfId="41">
      <pivotArea dataOnly="0" labelOnly="1" grandRow="1" outline="0" fieldPosition="0"/>
    </format>
    <format dxfId="40">
      <pivotArea dataOnly="0" labelOnly="1" fieldPosition="0">
        <references count="2">
          <reference field="0" count="1" selected="0">
            <x v="0"/>
          </reference>
          <reference field="1" count="6">
            <x v="0"/>
            <x v="1"/>
            <x v="2"/>
            <x v="5"/>
            <x v="7"/>
            <x v="15"/>
          </reference>
        </references>
      </pivotArea>
    </format>
    <format dxfId="39">
      <pivotArea dataOnly="0" labelOnly="1" fieldPosition="0">
        <references count="2">
          <reference field="0" count="1" selected="0">
            <x v="1"/>
          </reference>
          <reference field="1" count="11">
            <x v="0"/>
            <x v="3"/>
            <x v="4"/>
            <x v="6"/>
            <x v="8"/>
            <x v="10"/>
            <x v="11"/>
            <x v="12"/>
            <x v="14"/>
            <x v="16"/>
            <x v="19"/>
          </reference>
        </references>
      </pivotArea>
    </format>
    <format dxfId="38">
      <pivotArea dataOnly="0" labelOnly="1" fieldPosition="0">
        <references count="2">
          <reference field="0" count="1" selected="0">
            <x v="2"/>
          </reference>
          <reference field="1" count="9">
            <x v="0"/>
            <x v="3"/>
            <x v="8"/>
            <x v="9"/>
            <x v="12"/>
            <x v="13"/>
            <x v="17"/>
            <x v="18"/>
            <x v="20"/>
          </reference>
        </references>
      </pivotArea>
    </format>
    <format dxfId="37">
      <pivotArea dataOnly="0" labelOnly="1" outline="0" fieldPosition="0">
        <references count="1">
          <reference field="4294967294" count="4">
            <x v="0"/>
            <x v="1"/>
            <x v="2"/>
            <x v="3"/>
          </reference>
        </references>
      </pivotArea>
    </format>
  </formats>
  <pivotTableStyleInfo name="PivotStyleDark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AD95AE-27EB-425D-AAC8-123A74BB828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33" firstHeaderRow="0" firstDataRow="1" firstDataCol="1"/>
  <pivotFields count="6">
    <pivotField axis="axisRow" showAll="0">
      <items count="4">
        <item x="0"/>
        <item x="1"/>
        <item x="2"/>
        <item t="default"/>
      </items>
    </pivotField>
    <pivotField axis="axisRow" showAll="0">
      <items count="22">
        <item x="0"/>
        <item x="1"/>
        <item x="2"/>
        <item x="6"/>
        <item x="7"/>
        <item x="3"/>
        <item x="8"/>
        <item x="4"/>
        <item x="9"/>
        <item x="16"/>
        <item x="10"/>
        <item x="11"/>
        <item x="12"/>
        <item x="17"/>
        <item x="13"/>
        <item x="5"/>
        <item x="14"/>
        <item x="18"/>
        <item x="19"/>
        <item x="15"/>
        <item x="20"/>
        <item t="default"/>
      </items>
    </pivotField>
    <pivotField dataField="1" numFmtId="164" showAll="0"/>
    <pivotField dataField="1" numFmtId="164" showAll="0"/>
    <pivotField dataField="1" numFmtId="164" showAll="0"/>
    <pivotField dataField="1" numFmtId="9" showAll="0"/>
  </pivotFields>
  <rowFields count="2">
    <field x="0"/>
    <field x="1"/>
  </rowFields>
  <rowItems count="30">
    <i>
      <x/>
    </i>
    <i r="1">
      <x/>
    </i>
    <i r="1">
      <x v="1"/>
    </i>
    <i r="1">
      <x v="2"/>
    </i>
    <i r="1">
      <x v="5"/>
    </i>
    <i r="1">
      <x v="7"/>
    </i>
    <i r="1">
      <x v="15"/>
    </i>
    <i>
      <x v="1"/>
    </i>
    <i r="1">
      <x/>
    </i>
    <i r="1">
      <x v="3"/>
    </i>
    <i r="1">
      <x v="4"/>
    </i>
    <i r="1">
      <x v="6"/>
    </i>
    <i r="1">
      <x v="8"/>
    </i>
    <i r="1">
      <x v="10"/>
    </i>
    <i r="1">
      <x v="11"/>
    </i>
    <i r="1">
      <x v="12"/>
    </i>
    <i r="1">
      <x v="14"/>
    </i>
    <i r="1">
      <x v="16"/>
    </i>
    <i r="1">
      <x v="19"/>
    </i>
    <i>
      <x v="2"/>
    </i>
    <i r="1">
      <x/>
    </i>
    <i r="1">
      <x v="3"/>
    </i>
    <i r="1">
      <x v="8"/>
    </i>
    <i r="1">
      <x v="9"/>
    </i>
    <i r="1">
      <x v="12"/>
    </i>
    <i r="1">
      <x v="13"/>
    </i>
    <i r="1">
      <x v="17"/>
    </i>
    <i r="1">
      <x v="18"/>
    </i>
    <i r="1">
      <x v="20"/>
    </i>
    <i t="grand">
      <x/>
    </i>
  </rowItems>
  <colFields count="1">
    <field x="-2"/>
  </colFields>
  <colItems count="4">
    <i>
      <x/>
    </i>
    <i i="1">
      <x v="1"/>
    </i>
    <i i="2">
      <x v="2"/>
    </i>
    <i i="3">
      <x v="3"/>
    </i>
  </colItems>
  <dataFields count="4">
    <dataField name="  Total Sales Before DIS" fld="2" baseField="0" baseItem="0" numFmtId="164"/>
    <dataField name=" Total Sales USD" fld="3" baseField="0" baseItem="0" numFmtId="164"/>
    <dataField name=" Total Discount Amount" fld="4" baseField="0" baseItem="0" numFmtId="164"/>
    <dataField name=" AVG Discount%" fld="5" subtotal="average" baseField="0" baseItem="0" numFmtId="9"/>
  </dataFields>
  <formats count="9">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fieldPosition="0">
        <references count="2">
          <reference field="0" count="1" selected="0">
            <x v="0"/>
          </reference>
          <reference field="1" count="6">
            <x v="0"/>
            <x v="1"/>
            <x v="2"/>
            <x v="5"/>
            <x v="7"/>
            <x v="15"/>
          </reference>
        </references>
      </pivotArea>
    </format>
    <format dxfId="30">
      <pivotArea dataOnly="0" labelOnly="1" fieldPosition="0">
        <references count="2">
          <reference field="0" count="1" selected="0">
            <x v="1"/>
          </reference>
          <reference field="1" count="11">
            <x v="0"/>
            <x v="3"/>
            <x v="4"/>
            <x v="6"/>
            <x v="8"/>
            <x v="10"/>
            <x v="11"/>
            <x v="12"/>
            <x v="14"/>
            <x v="16"/>
            <x v="19"/>
          </reference>
        </references>
      </pivotArea>
    </format>
    <format dxfId="29">
      <pivotArea dataOnly="0" labelOnly="1" fieldPosition="0">
        <references count="2">
          <reference field="0" count="1" selected="0">
            <x v="2"/>
          </reference>
          <reference field="1" count="9">
            <x v="0"/>
            <x v="3"/>
            <x v="8"/>
            <x v="9"/>
            <x v="12"/>
            <x v="13"/>
            <x v="17"/>
            <x v="18"/>
            <x v="20"/>
          </reference>
        </references>
      </pivotArea>
    </format>
    <format dxfId="28">
      <pivotArea dataOnly="0" labelOnly="1" outline="0" fieldPosition="0">
        <references count="1">
          <reference field="4294967294" count="4">
            <x v="0"/>
            <x v="1"/>
            <x v="2"/>
            <x v="3"/>
          </reference>
        </references>
      </pivotArea>
    </format>
  </formats>
  <pivotTableStyleInfo name="PivotStyleDark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5ED6D66-0595-4DC7-BA2D-08D3600B9F9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2:D31" firstHeaderRow="1" firstDataRow="2" firstDataCol="1"/>
  <pivotFields count="10">
    <pivotField showAll="0"/>
    <pivotField showAll="0"/>
    <pivotField axis="axisRow" showAll="0">
      <items count="8">
        <item x="1"/>
        <item x="4"/>
        <item x="2"/>
        <item x="6"/>
        <item x="5"/>
        <item x="3"/>
        <item x="0"/>
        <item t="default"/>
      </items>
    </pivotField>
    <pivotField showAll="0"/>
    <pivotField axis="axisCol" showAll="0">
      <items count="4">
        <item x="0"/>
        <item x="1"/>
        <item h="1" x="2"/>
        <item t="default"/>
      </items>
    </pivotField>
    <pivotField showAll="0">
      <items count="4">
        <item x="0"/>
        <item x="2"/>
        <item x="1"/>
        <item t="default"/>
      </items>
    </pivotField>
    <pivotField numFmtId="165" showAll="0"/>
    <pivotField numFmtId="164" showAll="0"/>
    <pivotField dataField="1" numFmtId="164" showAll="0"/>
    <pivotField numFmtId="10" showAll="0"/>
  </pivotFields>
  <rowFields count="1">
    <field x="2"/>
  </rowFields>
  <rowItems count="8">
    <i>
      <x/>
    </i>
    <i>
      <x v="1"/>
    </i>
    <i>
      <x v="2"/>
    </i>
    <i>
      <x v="3"/>
    </i>
    <i>
      <x v="4"/>
    </i>
    <i>
      <x v="5"/>
    </i>
    <i>
      <x v="6"/>
    </i>
    <i t="grand">
      <x/>
    </i>
  </rowItems>
  <colFields count="1">
    <field x="4"/>
  </colFields>
  <colItems count="3">
    <i>
      <x/>
    </i>
    <i>
      <x v="1"/>
    </i>
    <i t="grand">
      <x/>
    </i>
  </colItems>
  <dataFields count="1">
    <dataField name="Sum of Total Profit" fld="8" showDataAs="percentDiff" baseField="4" baseItem="1048828" numFmtId="10"/>
  </dataFields>
  <chartFormats count="4">
    <chartFormat chart="3" format="0" series="1">
      <pivotArea type="data" outline="0" fieldPosition="0">
        <references count="2">
          <reference field="4294967294" count="1" selected="0">
            <x v="0"/>
          </reference>
          <reference field="4" count="1" selected="0">
            <x v="0"/>
          </reference>
        </references>
      </pivotArea>
    </chartFormat>
    <chartFormat chart="3" format="1" series="1">
      <pivotArea type="data" outline="0" fieldPosition="0">
        <references count="2">
          <reference field="4294967294" count="1" selected="0">
            <x v="0"/>
          </reference>
          <reference field="4" count="1" selected="0">
            <x v="1"/>
          </reference>
        </references>
      </pivotArea>
    </chartFormat>
    <chartFormat chart="8" format="4" series="1">
      <pivotArea type="data" outline="0" fieldPosition="0">
        <references count="2">
          <reference field="4294967294" count="1" selected="0">
            <x v="0"/>
          </reference>
          <reference field="4" count="1" selected="0">
            <x v="0"/>
          </reference>
        </references>
      </pivotArea>
    </chartFormat>
    <chartFormat chart="8"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C9A38D-8F66-44A2-A14E-FD2F32E904C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7" firstHeaderRow="0" firstDataRow="1" firstDataCol="1"/>
  <pivotFields count="10">
    <pivotField showAll="0"/>
    <pivotField showAll="0"/>
    <pivotField showAll="0"/>
    <pivotField showAll="0"/>
    <pivotField showAll="0">
      <items count="4">
        <item x="0"/>
        <item x="1"/>
        <item x="2"/>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165" showAll="0"/>
    <pivotField dataField="1" numFmtId="164" showAll="0"/>
    <pivotField dataField="1" numFmtId="164" showAll="0"/>
    <pivotField numFmtId="10" showAll="0"/>
  </pivotFields>
  <rowFields count="1">
    <field x="5"/>
  </rowFields>
  <rowItems count="4">
    <i>
      <x/>
    </i>
    <i>
      <x v="2"/>
    </i>
    <i>
      <x v="1"/>
    </i>
    <i t="grand">
      <x/>
    </i>
  </rowItems>
  <colFields count="1">
    <field x="-2"/>
  </colFields>
  <colItems count="2">
    <i>
      <x/>
    </i>
    <i i="1">
      <x v="1"/>
    </i>
  </colItems>
  <dataFields count="2">
    <dataField name=" Total Sales USD" fld="7" baseField="0" baseItem="0" numFmtId="164"/>
    <dataField name=" Total Profit" fld="8"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72EFA1-D86B-4BA4-8DD6-3D75454C8A2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6:D77" firstHeaderRow="0" firstDataRow="1" firstDataCol="0"/>
  <pivotFields count="10">
    <pivotField showAll="0"/>
    <pivotField showAll="0"/>
    <pivotField showAll="0" sortType="ascending">
      <items count="8">
        <item x="1"/>
        <item x="4"/>
        <item x="2"/>
        <item x="6"/>
        <item x="5"/>
        <item x="3"/>
        <item x="0"/>
        <item t="default"/>
      </items>
      <autoSortScope>
        <pivotArea dataOnly="0" outline="0" fieldPosition="0">
          <references count="1">
            <reference field="4294967294" count="1" selected="0">
              <x v="2"/>
            </reference>
          </references>
        </pivotArea>
      </autoSortScope>
    </pivotField>
    <pivotField showAll="0"/>
    <pivotField showAll="0">
      <items count="4">
        <item x="0"/>
        <item x="1"/>
        <item x="2"/>
        <item t="default"/>
      </items>
    </pivotField>
    <pivotField showAll="0">
      <items count="4">
        <item x="0"/>
        <item x="2"/>
        <item x="1"/>
        <item t="default"/>
      </items>
    </pivotField>
    <pivotField dataField="1" numFmtId="165" showAll="0"/>
    <pivotField dataField="1" numFmtId="164" showAll="0"/>
    <pivotField dataField="1" numFmtId="164" showAll="0"/>
    <pivotField dataField="1" numFmtId="10" showAll="0"/>
  </pivotFields>
  <rowItems count="1">
    <i/>
  </rowItems>
  <colFields count="1">
    <field x="-2"/>
  </colFields>
  <colItems count="4">
    <i>
      <x/>
    </i>
    <i i="1">
      <x v="1"/>
    </i>
    <i i="2">
      <x v="2"/>
    </i>
    <i i="3">
      <x v="3"/>
    </i>
  </colItems>
  <dataFields count="4">
    <dataField name="  Quantity" fld="6" baseField="0" baseItem="0" numFmtId="165"/>
    <dataField name=" Total Sales USD" fld="7" baseField="0" baseItem="0" numFmtId="164"/>
    <dataField name=" Total Profit" fld="8" baseField="0" baseItem="0" numFmtId="164"/>
    <dataField name="Average of Return_Rate_Percentage" fld="9" subtotal="average" baseField="0" baseItem="3" numFmtId="10"/>
  </dataFields>
  <formats count="10">
    <format dxfId="12">
      <pivotArea dataOnly="0" labelOnly="1" outline="0" fieldPosition="0">
        <references count="1">
          <reference field="4294967294" count="4">
            <x v="0"/>
            <x v="1"/>
            <x v="2"/>
            <x v="3"/>
          </reference>
        </references>
      </pivotArea>
    </format>
    <format dxfId="11">
      <pivotArea dataOnly="0" labelOnly="1" outline="0" fieldPosition="0">
        <references count="1">
          <reference field="4294967294" count="4">
            <x v="0"/>
            <x v="1"/>
            <x v="2"/>
            <x v="3"/>
          </reference>
        </references>
      </pivotArea>
    </format>
    <format dxfId="10">
      <pivotArea outline="0" collapsedLevelsAreSubtotals="1" fieldPosition="0"/>
    </format>
    <format dxfId="9">
      <pivotArea type="all" dataOnly="0" outline="0" fieldPosition="0"/>
    </format>
    <format dxfId="8">
      <pivotArea outline="0" collapsedLevelsAreSubtotals="1" fieldPosition="0"/>
    </format>
    <format dxfId="7">
      <pivotArea dataOnly="0" labelOnly="1" outline="0" fieldPosition="0">
        <references count="1">
          <reference field="4294967294" count="4">
            <x v="0"/>
            <x v="1"/>
            <x v="2"/>
            <x v="3"/>
          </reference>
        </references>
      </pivotArea>
    </format>
    <format dxfId="6">
      <pivotArea type="all" dataOnly="0" outline="0" fieldPosition="0"/>
    </format>
    <format dxfId="5">
      <pivotArea outline="0" collapsedLevelsAreSubtotals="1" fieldPosition="0"/>
    </format>
    <format dxfId="4">
      <pivotArea dataOnly="0" labelOnly="1" outline="0" fieldPosition="0">
        <references count="1">
          <reference field="4294967294" count="4">
            <x v="0"/>
            <x v="1"/>
            <x v="2"/>
            <x v="3"/>
          </reference>
        </references>
      </pivotArea>
    </format>
    <format dxfId="3">
      <pivotArea dataOnly="0" labelOnly="1" outline="0" fieldPosition="0">
        <references count="1">
          <reference field="4294967294" count="4">
            <x v="0"/>
            <x v="1"/>
            <x v="2"/>
            <x v="3"/>
          </reference>
        </references>
      </pivotArea>
    </format>
  </formats>
  <chartFormats count="2">
    <chartFormat chart="0" format="1"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7AABD0-E231-413C-812B-A87F47F813F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59:B67" firstHeaderRow="1" firstDataRow="1" firstDataCol="1"/>
  <pivotFields count="10">
    <pivotField showAll="0"/>
    <pivotField showAll="0"/>
    <pivotField axis="axisRow" showAll="0" sortType="ascending">
      <items count="8">
        <item x="1"/>
        <item x="4"/>
        <item x="2"/>
        <item x="6"/>
        <item x="5"/>
        <item x="3"/>
        <item x="0"/>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4">
        <item x="0"/>
        <item x="2"/>
        <item x="1"/>
        <item t="default"/>
      </items>
    </pivotField>
    <pivotField numFmtId="165" showAll="0"/>
    <pivotField numFmtId="164" showAll="0"/>
    <pivotField dataField="1" numFmtId="164" showAll="0"/>
    <pivotField numFmtId="10" showAll="0"/>
  </pivotFields>
  <rowFields count="1">
    <field x="2"/>
  </rowFields>
  <rowItems count="8">
    <i>
      <x v="5"/>
    </i>
    <i>
      <x v="4"/>
    </i>
    <i>
      <x v="3"/>
    </i>
    <i>
      <x v="1"/>
    </i>
    <i>
      <x v="2"/>
    </i>
    <i>
      <x v="6"/>
    </i>
    <i>
      <x/>
    </i>
    <i t="grand">
      <x/>
    </i>
  </rowItems>
  <colItems count="1">
    <i/>
  </colItems>
  <dataFields count="1">
    <dataField name=" Total Profit" fld="8" baseField="0" baseItem="0" numFmtId="164"/>
  </dataFields>
  <chartFormats count="3">
    <chartFormat chart="0" format="1"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FC7C9F-66FE-493F-9630-FD455397D0E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9:B47" firstHeaderRow="1" firstDataRow="1" firstDataCol="1"/>
  <pivotFields count="10">
    <pivotField showAll="0"/>
    <pivotField showAll="0"/>
    <pivotField axis="axisRow" showAll="0" sortType="ascending">
      <items count="8">
        <item x="1"/>
        <item x="4"/>
        <item x="2"/>
        <item x="6"/>
        <item x="5"/>
        <item x="3"/>
        <item x="0"/>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4">
        <item x="0"/>
        <item x="2"/>
        <item x="1"/>
        <item t="default"/>
      </items>
    </pivotField>
    <pivotField numFmtId="165" showAll="0"/>
    <pivotField numFmtId="164" showAll="0"/>
    <pivotField numFmtId="164" showAll="0"/>
    <pivotField dataField="1" numFmtId="10" showAll="0"/>
  </pivotFields>
  <rowFields count="1">
    <field x="2"/>
  </rowFields>
  <rowItems count="8">
    <i>
      <x v="3"/>
    </i>
    <i>
      <x v="2"/>
    </i>
    <i>
      <x v="1"/>
    </i>
    <i>
      <x v="6"/>
    </i>
    <i>
      <x/>
    </i>
    <i>
      <x v="5"/>
    </i>
    <i>
      <x v="4"/>
    </i>
    <i t="grand">
      <x/>
    </i>
  </rowItems>
  <colItems count="1">
    <i/>
  </colItems>
  <dataFields count="1">
    <dataField name="Average of Return_Rate_Percentage" fld="9" subtotal="average" baseField="2" baseItem="0" numFmtId="1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DB6244-6F5A-4344-8227-781F750DBF99}"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7" firstHeaderRow="0" firstDataRow="1" firstDataCol="1"/>
  <pivotFields count="5">
    <pivotField axis="axisRow" showAll="0">
      <items count="4">
        <item sd="0" x="0"/>
        <item sd="0" x="1"/>
        <item x="2"/>
        <item t="default"/>
      </items>
    </pivotField>
    <pivotField showAll="0"/>
    <pivotField axis="axisRow" showAll="0">
      <items count="13">
        <item x="0"/>
        <item x="1"/>
        <item x="2"/>
        <item x="3"/>
        <item x="4"/>
        <item x="5"/>
        <item x="6"/>
        <item x="7"/>
        <item x="8"/>
        <item x="9"/>
        <item x="10"/>
        <item x="11"/>
        <item t="default"/>
      </items>
    </pivotField>
    <pivotField axis="axisRow"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dataField="1" numFmtId="164" showAll="0"/>
  </pivotFields>
  <rowFields count="3">
    <field x="0"/>
    <field x="2"/>
    <field x="3"/>
  </rowFields>
  <rowItems count="84">
    <i>
      <x/>
    </i>
    <i>
      <x v="1"/>
    </i>
    <i>
      <x v="2"/>
    </i>
    <i r="1">
      <x/>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1">
      <x v="2"/>
    </i>
    <i r="2">
      <x/>
    </i>
    <i r="2">
      <x v="1"/>
    </i>
    <i r="2">
      <x v="2"/>
    </i>
    <i r="2">
      <x v="3"/>
    </i>
    <i r="2">
      <x v="4"/>
    </i>
    <i r="2">
      <x v="5"/>
    </i>
    <i r="2">
      <x v="6"/>
    </i>
    <i r="2">
      <x v="7"/>
    </i>
    <i r="2">
      <x v="8"/>
    </i>
    <i r="2">
      <x v="9"/>
    </i>
    <i r="2">
      <x v="10"/>
    </i>
    <i r="2">
      <x v="11"/>
    </i>
    <i r="2">
      <x v="12"/>
    </i>
    <i r="2">
      <x v="13"/>
    </i>
    <i r="2">
      <x v="14"/>
    </i>
    <i r="2">
      <x v="15"/>
    </i>
    <i r="2">
      <x v="16"/>
    </i>
    <i r="2">
      <x v="17"/>
    </i>
    <i t="grand">
      <x/>
    </i>
  </rowItems>
  <colFields count="1">
    <field x="-2"/>
  </colFields>
  <colItems count="2">
    <i>
      <x/>
    </i>
    <i i="1">
      <x v="1"/>
    </i>
  </colItems>
  <dataFields count="2">
    <dataField name="Sum of Total Sales USD" fld="4" baseField="0" baseItem="0" numFmtId="164"/>
    <dataField name="Sum of Total Sales USD2" fld="4" showDataAs="percentDiff" baseField="0" baseItem="1048828" numFmtId="10"/>
  </dataFields>
  <pivotTableStyleInfo name="PivotStyleDark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2D8A7FCD-0DA3-4BE8-9D88-321CCF9FC24D}" autoFormatId="16" applyNumberFormats="0" applyBorderFormats="0" applyFontFormats="0" applyPatternFormats="0" applyAlignmentFormats="0" applyWidthHeightFormats="0">
  <queryTableRefresh nextId="8">
    <queryTableFields count="7">
      <queryTableField id="1" name="Category" tableColumnId="1"/>
      <queryTableField id="2" name="Sub Category" tableColumnId="2"/>
      <queryTableField id="3" name="Total Quantity" tableColumnId="3"/>
      <queryTableField id="4" name="Total Sales USD" tableColumnId="4"/>
      <queryTableField id="5" name="Total Production Cost" tableColumnId="5"/>
      <queryTableField id="6" name="Total Profit" tableColumnId="6"/>
      <queryTableField id="7" name="Return_Rate_Percentag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7" xr16:uid="{B5B695A2-E393-4DEA-9800-BBEC43040567}" autoFormatId="16" applyNumberFormats="0" applyBorderFormats="0" applyFontFormats="0" applyPatternFormats="0" applyAlignmentFormats="0" applyWidthHeightFormats="0">
  <queryTableRefresh nextId="7">
    <queryTableFields count="6">
      <queryTableField id="1" name="Category" tableColumnId="1"/>
      <queryTableField id="2" name="Sub Category" tableColumnId="2"/>
      <queryTableField id="3" name=" Total Sales Before DIS" tableColumnId="3"/>
      <queryTableField id="4" name="Total Sales USD" tableColumnId="4"/>
      <queryTableField id="5" name="Total Discount Amount" tableColumnId="5"/>
      <queryTableField id="6" name="AVG Discount%"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 xr16:uid="{9FCD1CA5-5640-4CE7-AE57-D07B5A235D72}" autoFormatId="16" applyNumberFormats="0" applyBorderFormats="0" applyFontFormats="0" applyPatternFormats="0" applyAlignmentFormats="0" applyWidthHeightFormats="0">
  <queryTableRefresh nextId="6">
    <queryTableFields count="5">
      <queryTableField id="1" name="Year" tableColumnId="1"/>
      <queryTableField id="2" name="Quarter" tableColumnId="2"/>
      <queryTableField id="3" name="Month" tableColumnId="3"/>
      <queryTableField id="4" name="Day" tableColumnId="4"/>
      <queryTableField id="5" name="Total Sales USD"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269B96CE-8929-42EC-99B0-33FC873A2C16}" autoFormatId="16" applyNumberFormats="0" applyBorderFormats="0" applyFontFormats="0" applyPatternFormats="0" applyAlignmentFormats="0" applyWidthHeightFormats="0">
  <queryTableRefresh nextId="7">
    <queryTableFields count="6">
      <queryTableField id="1" name="Employee ID" tableColumnId="1"/>
      <queryTableField id="2" name="Name" tableColumnId="2"/>
      <queryTableField id="3" name="Store Name" tableColumnId="3"/>
      <queryTableField id="4" name="Position" tableColumnId="4"/>
      <queryTableField id="5" name="Total Quantity" tableColumnId="5"/>
      <queryTableField id="6" name="Total Sales USD"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7FC06A87-62AC-4EAD-9AA0-294975D4931B}" autoFormatId="16" applyNumberFormats="0" applyBorderFormats="0" applyFontFormats="0" applyPatternFormats="0" applyAlignmentFormats="0" applyWidthHeightFormats="0">
  <queryTableRefresh nextId="9">
    <queryTableFields count="8">
      <queryTableField id="1" name="Customer ID" tableColumnId="1"/>
      <queryTableField id="2" name="Name_EN" tableColumnId="2"/>
      <queryTableField id="3" name="Country" tableColumnId="3"/>
      <queryTableField id="4" name="City_EN" tableColumnId="4"/>
      <queryTableField id="5" name="Gender" tableColumnId="5"/>
      <queryTableField id="6" name="Job Title" tableColumnId="6"/>
      <queryTableField id="7" name="Total Sales USD" tableColumnId="7"/>
      <queryTableField id="8" name="Total Quantity"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ier" xr10:uid="{82B9600C-99EB-4EF5-A9C5-AF0E0A6B2B47}" sourceName="Store_Tier">
  <pivotTables>
    <pivotTable tabId="12" name="PivotTable5"/>
    <pivotTable tabId="12" name="PivotTable7"/>
    <pivotTable tabId="12" name="PivotTable8"/>
    <pivotTable tabId="12" name="PivotTable9"/>
  </pivotTables>
  <data>
    <tabular pivotCacheId="100338829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C0A02AB-5294-437B-9D45-53375D3F182E}" sourceName="Year">
  <pivotTables>
    <pivotTable tabId="12" name="PivotTable5"/>
    <pivotTable tabId="12" name="PivotTable7"/>
    <pivotTable tabId="12" name="PivotTable8"/>
    <pivotTable tabId="12" name="PivotTable9"/>
  </pivotTables>
  <data>
    <tabular pivotCacheId="100338829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Tier" xr10:uid="{B56A8773-FAE9-4E99-83C0-79F8A65610FB}" cache="Slicer_Store_Tier" caption="Store_Tier" rowHeight="241300"/>
  <slicer name="Year" xr10:uid="{B563956B-2014-46A1-ADCE-4467684F0EBC}"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Tier 1" xr10:uid="{52AADB29-3EB7-4D70-9C32-29F23A8ED04A}" cache="Slicer_Store_Tier" caption="Store_Tier" style="SlicerStyleDark3" rowHeight="241300"/>
  <slicer name="Year 1" xr10:uid="{3CBAE4E1-3FCB-4CA7-846E-F92C5D36D478}" cache="Slicer_Year" caption="Year" style="SlicerStyleDark3"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3A4D27-5048-45D5-88EA-CAD9053B260E}" name="Table1" displayName="Table1" ref="A1:K106" totalsRowShown="0">
  <autoFilter ref="A1:K106" xr:uid="{443A4D27-5048-45D5-88EA-CAD9053B260E}"/>
  <tableColumns count="11">
    <tableColumn id="1" xr3:uid="{8C4C0D4E-5201-4A75-9278-BEC008AA6F27}" name="Store ID"/>
    <tableColumn id="2" xr3:uid="{09231328-3010-468B-BF3A-112BE9437CE4}" name="Store Name"/>
    <tableColumn id="3" xr3:uid="{58FBBF8B-241C-43BC-AF82-E9E354907E1C}" name="Country"/>
    <tableColumn id="4" xr3:uid="{A1510A49-C3E2-40DA-994B-9E653675F88E}" name="City"/>
    <tableColumn id="5" xr3:uid="{C174B734-34E6-4D53-B14A-9953B359C660}" name="Year"/>
    <tableColumn id="6" xr3:uid="{0E304405-3D9F-4DFD-9FDB-D0394595C92E}" name="Store_Tier"/>
    <tableColumn id="7" xr3:uid="{51221024-0040-4178-8393-9BC6FEAFBE73}" name=" Quantity" dataDxfId="80" dataCellStyle="Comma"/>
    <tableColumn id="8" xr3:uid="{88A16FE0-6F09-4952-8979-E7A8A915E4C1}" name="Total Sales USD" dataDxfId="79" dataCellStyle="Currency"/>
    <tableColumn id="9" xr3:uid="{38BF5ECE-7A94-4644-B76F-ADF77E87AB77}" name="Total Profit" dataDxfId="78" dataCellStyle="Currency"/>
    <tableColumn id="10" xr3:uid="{AE0FB60C-BA15-498D-A45F-24845D954943}" name="Return_Rate_Percentage" dataDxfId="77" dataCellStyle="Percent"/>
    <tableColumn id="11" xr3:uid="{B731C56E-A9EE-421D-B054-4303F1F2D3F1}" name="Profit Margin %" dataDxfId="76" dataCellStyle="Percent">
      <calculatedColumnFormula>Table1[[#This Row],[Total Profit]]/Table1[[#This Row],[Total Sales USD]]</calculatedColumnFormula>
    </tableColumn>
  </tableColumns>
  <tableStyleInfo name="TableStyleDark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ACEC5-7B8F-46C6-BA4B-E93C6BDBCC13}" name="Product" displayName="Product" ref="A1:G27" tableType="queryTable" totalsRowShown="0">
  <autoFilter ref="A1:G27" xr:uid="{1EBACEC5-7B8F-46C6-BA4B-E93C6BDBCC13}"/>
  <tableColumns count="7">
    <tableColumn id="1" xr3:uid="{28264620-FA06-408E-8DD4-EC20E2780FA5}" uniqueName="1" name="Category" queryTableFieldId="1" dataDxfId="75"/>
    <tableColumn id="2" xr3:uid="{3F5B47EA-A9C2-4EFC-B498-356BFF5C28A3}" uniqueName="2" name="Sub Category" queryTableFieldId="2" dataDxfId="74"/>
    <tableColumn id="3" xr3:uid="{2DB5249D-B939-4794-821A-F16685B0265A}" uniqueName="3" name="Total Quantity" queryTableFieldId="3" dataDxfId="73" dataCellStyle="Comma"/>
    <tableColumn id="4" xr3:uid="{F42CD22D-10CF-4A0B-B6AA-2C4651C7C447}" uniqueName="4" name="Total Sales USD" queryTableFieldId="4" dataDxfId="72" dataCellStyle="Currency"/>
    <tableColumn id="5" xr3:uid="{209B2997-E351-4322-B567-2264F3296D2F}" uniqueName="5" name="Total Production Cost" queryTableFieldId="5" dataDxfId="71" dataCellStyle="Currency"/>
    <tableColumn id="6" xr3:uid="{16763885-40BD-45C2-85F2-271E54B77373}" uniqueName="6" name="Total Profit" queryTableFieldId="6" dataDxfId="70" dataCellStyle="Currency"/>
    <tableColumn id="7" xr3:uid="{9A800485-6B3B-4CD3-B0A4-DC74103F27C7}" uniqueName="7" name="Return_Rate_Percentage" queryTableFieldId="7" dataDxfId="69" dataCellStyle="Percent"/>
  </tableColumns>
  <tableStyleInfo name="TableStyleDark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5968DC-8AAC-42D2-9F49-B386D8AFF360}" name="Product_DIS" displayName="Product_DIS" ref="A1:F27" tableType="queryTable" totalsRowShown="0">
  <autoFilter ref="A1:F27" xr:uid="{AF5968DC-8AAC-42D2-9F49-B386D8AFF360}"/>
  <tableColumns count="6">
    <tableColumn id="1" xr3:uid="{39F3ED7E-58CB-4CDD-89C6-977B7FE77FBB}" uniqueName="1" name="Category" queryTableFieldId="1" dataDxfId="68"/>
    <tableColumn id="2" xr3:uid="{3A8052B0-869F-4DAB-BAFC-BCBC71C809D3}" uniqueName="2" name="Sub Category" queryTableFieldId="2" dataDxfId="67"/>
    <tableColumn id="3" xr3:uid="{03EA113A-5111-47C7-83F7-FFCF1D64F52B}" uniqueName="3" name=" Total Sales Before DIS" queryTableFieldId="3" dataDxfId="66" dataCellStyle="Currency"/>
    <tableColumn id="4" xr3:uid="{8BDEE49C-21D5-4A8E-BF9A-D533AD668A72}" uniqueName="4" name="Total Sales USD" queryTableFieldId="4" dataDxfId="65" dataCellStyle="Currency"/>
    <tableColumn id="5" xr3:uid="{299BCEB8-A89F-47CB-B0CB-36114E142DC9}" uniqueName="5" name="Total Discount Amount" queryTableFieldId="5" dataDxfId="64" dataCellStyle="Currency"/>
    <tableColumn id="6" xr3:uid="{E274A994-E35B-4AD4-848B-8F9860704808}" uniqueName="6" name="AVG Discount%" queryTableFieldId="6" dataCellStyle="Percent"/>
  </tableColumns>
  <tableStyleInfo name="TableStyleDark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B5A8062-E490-4320-8BDE-8F6C9920E82F}" name="Forecasting" displayName="Forecasting" ref="A1:E809" tableType="queryTable" totalsRowShown="0">
  <autoFilter ref="A1:E809" xr:uid="{7B5A8062-E490-4320-8BDE-8F6C9920E82F}"/>
  <tableColumns count="5">
    <tableColumn id="1" xr3:uid="{C0539FA9-423D-40B6-B9FE-4A2FAF6B20E4}" uniqueName="1" name="Year" queryTableFieldId="1"/>
    <tableColumn id="2" xr3:uid="{0537EAC4-3ED0-40F4-BF89-82E50B6A8907}" uniqueName="2" name="Quarter" queryTableFieldId="2" dataDxfId="63"/>
    <tableColumn id="3" xr3:uid="{7EB19CA8-37F7-426F-8114-86807093AA89}" uniqueName="3" name="Month" queryTableFieldId="3" dataDxfId="62"/>
    <tableColumn id="4" xr3:uid="{890E03E0-1378-41BF-A2DD-5EF64EB1D9A4}" uniqueName="4" name="Day" queryTableFieldId="4"/>
    <tableColumn id="5" xr3:uid="{4B693020-F250-4A4E-9BC5-9BB5CDBF5323}" uniqueName="5" name="Total Sales USD" queryTableFieldId="5" dataDxfId="61" dataCellStyle="Currency"/>
  </tableColumns>
  <tableStyleInfo name="TableStyleDark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5712CF7-BD57-4FE6-89DD-08D59E027D6E}" name="employees78" displayName="employees78" ref="A3:F13" tableType="queryTable" totalsRowShown="0" headerRowDxfId="27" dataDxfId="26">
  <autoFilter ref="A3:F13" xr:uid="{95712CF7-BD57-4FE6-89DD-08D59E027D6E}"/>
  <tableColumns count="6">
    <tableColumn id="1" xr3:uid="{56CC3008-A6FF-4020-8DFD-8905C5B07847}" uniqueName="1" name="Employee ID" queryTableFieldId="1" dataDxfId="25"/>
    <tableColumn id="2" xr3:uid="{184567C9-D623-454F-963B-E9F2FB972284}" uniqueName="2" name="Name" queryTableFieldId="2" dataDxfId="24"/>
    <tableColumn id="3" xr3:uid="{558D0B3E-1499-4B64-AAB0-72E68953C733}" uniqueName="3" name="Store Name" queryTableFieldId="3" dataDxfId="23"/>
    <tableColumn id="4" xr3:uid="{79D64BD9-2544-4142-86E5-F26EB66FA8C8}" uniqueName="4" name="Position" queryTableFieldId="4" dataDxfId="22"/>
    <tableColumn id="5" xr3:uid="{31216B25-AE57-4EB8-8A6B-FB194B7B3DD7}" uniqueName="5" name="Total Quantity" queryTableFieldId="5" dataDxfId="21" dataCellStyle="Comma"/>
    <tableColumn id="6" xr3:uid="{E08FFE22-E440-4D80-8248-B15F8063D7F9}" uniqueName="6" name="Total Sales USD" queryTableFieldId="6" dataDxfId="20" dataCellStyle="Currency"/>
  </tableColumns>
  <tableStyleInfo name="TableStyleDark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D3AED1D-5D28-49A5-AB59-A9A127327B31}" name="Customers" displayName="Customers" ref="A3:H12" tableType="queryTable" totalsRowShown="0" headerRowDxfId="19" dataDxfId="18">
  <autoFilter ref="A3:H12" xr:uid="{5D3AED1D-5D28-49A5-AB59-A9A127327B31}"/>
  <tableColumns count="8">
    <tableColumn id="1" xr3:uid="{A932C60C-59D5-4F28-9662-EDAFCBF68186}" uniqueName="1" name="Customer ID" queryTableFieldId="1" dataDxfId="17"/>
    <tableColumn id="2" xr3:uid="{6397A07C-7B5A-4C9C-B570-486261A68060}" uniqueName="2" name="Name_EN" queryTableFieldId="2" dataDxfId="16"/>
    <tableColumn id="3" xr3:uid="{BDBF5E98-9158-4479-87A0-E7BED38B3CB2}" uniqueName="3" name="Country" queryTableFieldId="3" dataDxfId="15"/>
    <tableColumn id="4" xr3:uid="{21C5C3A0-A4E1-424A-9221-F120C811CC31}" uniqueName="4" name="City_EN" queryTableFieldId="4" dataDxfId="14"/>
    <tableColumn id="5" xr3:uid="{958710A0-6C7C-44AD-BA67-82BB5D87D1ED}" uniqueName="5" name="Gender" queryTableFieldId="5" dataDxfId="13"/>
    <tableColumn id="6" xr3:uid="{104C04A0-94E8-46E1-BBEA-950DB0F3F1EF}" uniqueName="6" name="Job Title" queryTableFieldId="6" dataDxfId="2"/>
    <tableColumn id="7" xr3:uid="{6C2DADA4-B206-4AC2-AB1C-B0F6AB1F3C64}" uniqueName="7" name="Column1" queryTableFieldId="7" dataDxfId="0" dataCellStyle="Currency"/>
    <tableColumn id="8" xr3:uid="{5E5B7CF7-AB06-4238-ADEB-39C30A4A558F}" uniqueName="8" name="Total Quantity" queryTableFieldId="8" dataDxfId="1"/>
  </tableColumns>
  <tableStyleInfo name="TableStyleDark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6.xml"/><Relationship Id="rId7" Type="http://schemas.microsoft.com/office/2007/relationships/slicer" Target="../slicers/slicer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1.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52A01-B5F2-4FE3-B832-8BA88A9611DA}">
  <dimension ref="A1:K106"/>
  <sheetViews>
    <sheetView workbookViewId="0">
      <selection activeCell="G11" sqref="G11"/>
    </sheetView>
  </sheetViews>
  <sheetFormatPr defaultRowHeight="14.25" x14ac:dyDescent="0.2"/>
  <cols>
    <col min="1" max="1" width="10" customWidth="1"/>
    <col min="2" max="2" width="15.875" bestFit="1" customWidth="1"/>
    <col min="3" max="3" width="13.875" bestFit="1" customWidth="1"/>
    <col min="4" max="4" width="10.875" bestFit="1" customWidth="1"/>
    <col min="5" max="5" width="7" bestFit="1" customWidth="1"/>
    <col min="6" max="6" width="18.875" bestFit="1" customWidth="1"/>
    <col min="7" max="7" width="12" style="4" bestFit="1" customWidth="1"/>
    <col min="8" max="8" width="18.625" style="3" bestFit="1" customWidth="1"/>
    <col min="9" max="9" width="14" style="3" bestFit="1" customWidth="1"/>
    <col min="10" max="10" width="25.25" style="2" customWidth="1"/>
    <col min="11" max="11" width="16.625" bestFit="1" customWidth="1"/>
  </cols>
  <sheetData>
    <row r="1" spans="1:11" x14ac:dyDescent="0.2">
      <c r="A1" t="s">
        <v>0</v>
      </c>
      <c r="B1" t="s">
        <v>1</v>
      </c>
      <c r="C1" t="s">
        <v>2</v>
      </c>
      <c r="D1" t="s">
        <v>3</v>
      </c>
      <c r="E1" t="s">
        <v>4</v>
      </c>
      <c r="F1" t="s">
        <v>5</v>
      </c>
      <c r="G1" s="4" t="s">
        <v>6</v>
      </c>
      <c r="H1" s="3" t="s">
        <v>7</v>
      </c>
      <c r="I1" s="3" t="s">
        <v>8</v>
      </c>
      <c r="J1" s="2" t="s">
        <v>9</v>
      </c>
      <c r="K1" s="1" t="s">
        <v>151</v>
      </c>
    </row>
    <row r="2" spans="1:11" x14ac:dyDescent="0.2">
      <c r="A2">
        <v>1</v>
      </c>
      <c r="B2" t="s">
        <v>10</v>
      </c>
      <c r="C2" t="s">
        <v>11</v>
      </c>
      <c r="D2" t="s">
        <v>12</v>
      </c>
      <c r="E2">
        <v>2023</v>
      </c>
      <c r="F2" t="s">
        <v>13</v>
      </c>
      <c r="G2" s="4">
        <v>237290</v>
      </c>
      <c r="H2" s="3">
        <v>9405392.7900002208</v>
      </c>
      <c r="I2" s="3">
        <v>5251690.7100001602</v>
      </c>
      <c r="J2" s="2">
        <v>5.6600125977389802E-2</v>
      </c>
      <c r="K2" s="1">
        <f>Table1[[#This Row],[Total Profit]]/Table1[[#This Row],[Total Sales USD]]</f>
        <v>0.55837016350701896</v>
      </c>
    </row>
    <row r="3" spans="1:11" x14ac:dyDescent="0.2">
      <c r="A3">
        <v>1</v>
      </c>
      <c r="B3" t="s">
        <v>10</v>
      </c>
      <c r="C3" t="s">
        <v>11</v>
      </c>
      <c r="D3" t="s">
        <v>12</v>
      </c>
      <c r="E3">
        <v>2024</v>
      </c>
      <c r="F3" t="s">
        <v>13</v>
      </c>
      <c r="G3" s="4">
        <v>226242</v>
      </c>
      <c r="H3" s="3">
        <v>9415516.8900001999</v>
      </c>
      <c r="I3" s="3">
        <v>5527448.6400000397</v>
      </c>
      <c r="J3" s="2">
        <v>5.56274494152059E-2</v>
      </c>
      <c r="K3" s="1">
        <f>Table1[[#This Row],[Total Profit]]/Table1[[#This Row],[Total Sales USD]]</f>
        <v>0.58705737609270248</v>
      </c>
    </row>
    <row r="4" spans="1:11" x14ac:dyDescent="0.2">
      <c r="A4">
        <v>1</v>
      </c>
      <c r="B4" t="s">
        <v>10</v>
      </c>
      <c r="C4" t="s">
        <v>11</v>
      </c>
      <c r="D4" t="s">
        <v>12</v>
      </c>
      <c r="E4">
        <v>2025</v>
      </c>
      <c r="F4" t="s">
        <v>14</v>
      </c>
      <c r="G4" s="4">
        <v>62151</v>
      </c>
      <c r="H4" s="3">
        <v>2400562.26000001</v>
      </c>
      <c r="I4" s="3">
        <v>1299589.5600000301</v>
      </c>
      <c r="J4" s="2">
        <v>5.48067537265041E-2</v>
      </c>
      <c r="K4" s="1">
        <f>Table1[[#This Row],[Total Profit]]/Table1[[#This Row],[Total Sales USD]]</f>
        <v>0.54136882081951276</v>
      </c>
    </row>
    <row r="5" spans="1:11" x14ac:dyDescent="0.2">
      <c r="A5">
        <v>2</v>
      </c>
      <c r="B5" t="s">
        <v>15</v>
      </c>
      <c r="C5" t="s">
        <v>11</v>
      </c>
      <c r="D5" t="s">
        <v>16</v>
      </c>
      <c r="E5">
        <v>2023</v>
      </c>
      <c r="F5" t="s">
        <v>13</v>
      </c>
      <c r="G5" s="4">
        <v>238483</v>
      </c>
      <c r="H5" s="3">
        <v>9526810.5700001791</v>
      </c>
      <c r="I5" s="3">
        <v>5339290.6400001198</v>
      </c>
      <c r="J5" s="2">
        <v>5.6957000882206697E-2</v>
      </c>
      <c r="K5" s="1">
        <f>Table1[[#This Row],[Total Profit]]/Table1[[#This Row],[Total Sales USD]]</f>
        <v>0.5604489142267074</v>
      </c>
    </row>
    <row r="6" spans="1:11" x14ac:dyDescent="0.2">
      <c r="A6">
        <v>2</v>
      </c>
      <c r="B6" t="s">
        <v>15</v>
      </c>
      <c r="C6" t="s">
        <v>11</v>
      </c>
      <c r="D6" t="s">
        <v>16</v>
      </c>
      <c r="E6">
        <v>2024</v>
      </c>
      <c r="F6" t="s">
        <v>13</v>
      </c>
      <c r="G6" s="4">
        <v>220987</v>
      </c>
      <c r="H6" s="3">
        <v>9082775.4400002994</v>
      </c>
      <c r="I6" s="3">
        <v>5271251.1399999997</v>
      </c>
      <c r="J6" s="2">
        <v>5.6137968286360099E-2</v>
      </c>
      <c r="K6" s="1">
        <f>Table1[[#This Row],[Total Profit]]/Table1[[#This Row],[Total Sales USD]]</f>
        <v>0.58035687162159166</v>
      </c>
    </row>
    <row r="7" spans="1:11" x14ac:dyDescent="0.2">
      <c r="A7">
        <v>2</v>
      </c>
      <c r="B7" t="s">
        <v>15</v>
      </c>
      <c r="C7" t="s">
        <v>11</v>
      </c>
      <c r="D7" t="s">
        <v>16</v>
      </c>
      <c r="E7">
        <v>2025</v>
      </c>
      <c r="F7" t="s">
        <v>14</v>
      </c>
      <c r="G7" s="4">
        <v>42271</v>
      </c>
      <c r="H7" s="3">
        <v>1602547.67</v>
      </c>
      <c r="I7" s="3">
        <v>855343.13999999501</v>
      </c>
      <c r="J7" s="2">
        <v>5.6870589014908102E-2</v>
      </c>
      <c r="K7" s="1">
        <f>Table1[[#This Row],[Total Profit]]/Table1[[#This Row],[Total Sales USD]]</f>
        <v>0.53373959228307699</v>
      </c>
    </row>
    <row r="8" spans="1:11" x14ac:dyDescent="0.2">
      <c r="A8">
        <v>3</v>
      </c>
      <c r="B8" t="s">
        <v>17</v>
      </c>
      <c r="C8" t="s">
        <v>11</v>
      </c>
      <c r="D8" t="s">
        <v>18</v>
      </c>
      <c r="E8">
        <v>2023</v>
      </c>
      <c r="F8" t="s">
        <v>19</v>
      </c>
      <c r="G8" s="4">
        <v>96911</v>
      </c>
      <c r="H8" s="3">
        <v>3814465.34999996</v>
      </c>
      <c r="I8" s="3">
        <v>2117776.6299999799</v>
      </c>
      <c r="J8" s="2">
        <v>5.7675101225129498E-2</v>
      </c>
      <c r="K8" s="1">
        <f>Table1[[#This Row],[Total Profit]]/Table1[[#This Row],[Total Sales USD]]</f>
        <v>0.55519619020788902</v>
      </c>
    </row>
    <row r="9" spans="1:11" x14ac:dyDescent="0.2">
      <c r="A9">
        <v>3</v>
      </c>
      <c r="B9" t="s">
        <v>17</v>
      </c>
      <c r="C9" t="s">
        <v>11</v>
      </c>
      <c r="D9" t="s">
        <v>18</v>
      </c>
      <c r="E9">
        <v>2024</v>
      </c>
      <c r="F9" t="s">
        <v>13</v>
      </c>
      <c r="G9" s="4">
        <v>145262</v>
      </c>
      <c r="H9" s="3">
        <v>5979601.0899999803</v>
      </c>
      <c r="I9" s="3">
        <v>3488127.68</v>
      </c>
      <c r="J9" s="2">
        <v>5.5942177760384501E-2</v>
      </c>
      <c r="K9" s="1">
        <f>Table1[[#This Row],[Total Profit]]/Table1[[#This Row],[Total Sales USD]]</f>
        <v>0.58333785607093258</v>
      </c>
    </row>
    <row r="10" spans="1:11" x14ac:dyDescent="0.2">
      <c r="A10">
        <v>3</v>
      </c>
      <c r="B10" t="s">
        <v>17</v>
      </c>
      <c r="C10" t="s">
        <v>11</v>
      </c>
      <c r="D10" t="s">
        <v>18</v>
      </c>
      <c r="E10">
        <v>2025</v>
      </c>
      <c r="F10" t="s">
        <v>14</v>
      </c>
      <c r="G10" s="4">
        <v>20228</v>
      </c>
      <c r="H10" s="3">
        <v>811761.69999999902</v>
      </c>
      <c r="I10" s="3">
        <v>450312.71</v>
      </c>
      <c r="J10" s="2">
        <v>5.24481503715973E-2</v>
      </c>
      <c r="K10" s="1">
        <f>Table1[[#This Row],[Total Profit]]/Table1[[#This Row],[Total Sales USD]]</f>
        <v>0.5547351026785331</v>
      </c>
    </row>
    <row r="11" spans="1:11" x14ac:dyDescent="0.2">
      <c r="A11">
        <v>4</v>
      </c>
      <c r="B11" t="s">
        <v>20</v>
      </c>
      <c r="C11" t="s">
        <v>11</v>
      </c>
      <c r="D11" t="s">
        <v>21</v>
      </c>
      <c r="E11">
        <v>2023</v>
      </c>
      <c r="F11" t="s">
        <v>13</v>
      </c>
      <c r="G11" s="4">
        <v>147431</v>
      </c>
      <c r="H11" s="3">
        <v>5877211.9800000302</v>
      </c>
      <c r="I11" s="3">
        <v>3293436.9500000998</v>
      </c>
      <c r="J11" s="2">
        <v>5.5638975031787399E-2</v>
      </c>
      <c r="K11" s="1">
        <f>Table1[[#This Row],[Total Profit]]/Table1[[#This Row],[Total Sales USD]]</f>
        <v>0.56037402789070112</v>
      </c>
    </row>
    <row r="12" spans="1:11" x14ac:dyDescent="0.2">
      <c r="A12">
        <v>4</v>
      </c>
      <c r="B12" t="s">
        <v>20</v>
      </c>
      <c r="C12" t="s">
        <v>11</v>
      </c>
      <c r="D12" t="s">
        <v>21</v>
      </c>
      <c r="E12">
        <v>2024</v>
      </c>
      <c r="F12" t="s">
        <v>13</v>
      </c>
      <c r="G12" s="4">
        <v>167794</v>
      </c>
      <c r="H12" s="3">
        <v>6989906.4600000996</v>
      </c>
      <c r="I12" s="3">
        <v>4105850.75000004</v>
      </c>
      <c r="J12" s="2">
        <v>5.5031811907790697E-2</v>
      </c>
      <c r="K12" s="1">
        <f>Table1[[#This Row],[Total Profit]]/Table1[[#This Row],[Total Sales USD]]</f>
        <v>0.58739709515368554</v>
      </c>
    </row>
    <row r="13" spans="1:11" x14ac:dyDescent="0.2">
      <c r="A13">
        <v>4</v>
      </c>
      <c r="B13" t="s">
        <v>20</v>
      </c>
      <c r="C13" t="s">
        <v>11</v>
      </c>
      <c r="D13" t="s">
        <v>21</v>
      </c>
      <c r="E13">
        <v>2025</v>
      </c>
      <c r="F13" t="s">
        <v>14</v>
      </c>
      <c r="G13" s="4">
        <v>27016</v>
      </c>
      <c r="H13" s="3">
        <v>1051699.49999999</v>
      </c>
      <c r="I13" s="3">
        <v>570401.67000000004</v>
      </c>
      <c r="J13" s="2">
        <v>5.2625989228018297E-2</v>
      </c>
      <c r="K13" s="1">
        <f>Table1[[#This Row],[Total Profit]]/Table1[[#This Row],[Total Sales USD]]</f>
        <v>0.54236183434527208</v>
      </c>
    </row>
    <row r="14" spans="1:11" x14ac:dyDescent="0.2">
      <c r="A14">
        <v>5</v>
      </c>
      <c r="B14" t="s">
        <v>22</v>
      </c>
      <c r="C14" t="s">
        <v>11</v>
      </c>
      <c r="D14" t="s">
        <v>23</v>
      </c>
      <c r="E14">
        <v>2023</v>
      </c>
      <c r="F14" t="s">
        <v>19</v>
      </c>
      <c r="G14" s="4">
        <v>121268</v>
      </c>
      <c r="H14" s="3">
        <v>4806274.59</v>
      </c>
      <c r="I14" s="3">
        <v>2685305.0400000401</v>
      </c>
      <c r="J14" s="2">
        <v>5.3892169963667198E-2</v>
      </c>
      <c r="K14" s="1">
        <f>Table1[[#This Row],[Total Profit]]/Table1[[#This Row],[Total Sales USD]]</f>
        <v>0.55870820314493108</v>
      </c>
    </row>
    <row r="15" spans="1:11" x14ac:dyDescent="0.2">
      <c r="A15">
        <v>5</v>
      </c>
      <c r="B15" t="s">
        <v>22</v>
      </c>
      <c r="C15" t="s">
        <v>11</v>
      </c>
      <c r="D15" t="s">
        <v>23</v>
      </c>
      <c r="E15">
        <v>2024</v>
      </c>
      <c r="F15" t="s">
        <v>19</v>
      </c>
      <c r="G15" s="4">
        <v>87477</v>
      </c>
      <c r="H15" s="3">
        <v>3646291.6199999698</v>
      </c>
      <c r="I15" s="3">
        <v>2148697.1499999701</v>
      </c>
      <c r="J15" s="2">
        <v>5.5986366198748902E-2</v>
      </c>
      <c r="K15" s="1">
        <f>Table1[[#This Row],[Total Profit]]/Table1[[#This Row],[Total Sales USD]]</f>
        <v>0.58928285884056297</v>
      </c>
    </row>
    <row r="16" spans="1:11" x14ac:dyDescent="0.2">
      <c r="A16">
        <v>5</v>
      </c>
      <c r="B16" t="s">
        <v>22</v>
      </c>
      <c r="C16" t="s">
        <v>11</v>
      </c>
      <c r="D16" t="s">
        <v>23</v>
      </c>
      <c r="E16">
        <v>2025</v>
      </c>
      <c r="F16" t="s">
        <v>14</v>
      </c>
      <c r="G16" s="4">
        <v>15736</v>
      </c>
      <c r="H16" s="3">
        <v>612693.79</v>
      </c>
      <c r="I16" s="3">
        <v>336709.00000000099</v>
      </c>
      <c r="J16" s="2">
        <v>5.5273141158595197E-2</v>
      </c>
      <c r="K16" s="1">
        <f>Table1[[#This Row],[Total Profit]]/Table1[[#This Row],[Total Sales USD]]</f>
        <v>0.54955510484283021</v>
      </c>
    </row>
    <row r="17" spans="1:11" x14ac:dyDescent="0.2">
      <c r="A17">
        <v>6</v>
      </c>
      <c r="B17" t="s">
        <v>24</v>
      </c>
      <c r="C17" t="s">
        <v>25</v>
      </c>
      <c r="D17" t="s">
        <v>26</v>
      </c>
      <c r="E17">
        <v>2023</v>
      </c>
      <c r="F17" t="s">
        <v>13</v>
      </c>
      <c r="G17" s="4">
        <v>170229</v>
      </c>
      <c r="H17" s="3">
        <v>7372073.5961549701</v>
      </c>
      <c r="I17" s="3">
        <v>4404151.7161549497</v>
      </c>
      <c r="J17" s="2">
        <v>5.4499624049810701E-2</v>
      </c>
      <c r="K17" s="1">
        <f>Table1[[#This Row],[Total Profit]]/Table1[[#This Row],[Total Sales USD]]</f>
        <v>0.59741016672052893</v>
      </c>
    </row>
    <row r="18" spans="1:11" x14ac:dyDescent="0.2">
      <c r="A18">
        <v>6</v>
      </c>
      <c r="B18" t="s">
        <v>24</v>
      </c>
      <c r="C18" t="s">
        <v>25</v>
      </c>
      <c r="D18" t="s">
        <v>26</v>
      </c>
      <c r="E18">
        <v>2024</v>
      </c>
      <c r="F18" t="s">
        <v>13</v>
      </c>
      <c r="G18" s="4">
        <v>206699</v>
      </c>
      <c r="H18" s="3">
        <v>9085272.9062788095</v>
      </c>
      <c r="I18" s="3">
        <v>5525820.1862789197</v>
      </c>
      <c r="J18" s="2">
        <v>5.5346804350969302E-2</v>
      </c>
      <c r="K18" s="1">
        <f>Table1[[#This Row],[Total Profit]]/Table1[[#This Row],[Total Sales USD]]</f>
        <v>0.60821730324248591</v>
      </c>
    </row>
    <row r="19" spans="1:11" x14ac:dyDescent="0.2">
      <c r="A19">
        <v>6</v>
      </c>
      <c r="B19" t="s">
        <v>24</v>
      </c>
      <c r="C19" t="s">
        <v>25</v>
      </c>
      <c r="D19" t="s">
        <v>26</v>
      </c>
      <c r="E19">
        <v>2025</v>
      </c>
      <c r="F19" t="s">
        <v>14</v>
      </c>
      <c r="G19" s="4">
        <v>44540</v>
      </c>
      <c r="H19" s="3">
        <v>1829423.46443701</v>
      </c>
      <c r="I19" s="3">
        <v>1040959.8344369699</v>
      </c>
      <c r="J19" s="2">
        <v>5.2968107559412898E-2</v>
      </c>
      <c r="K19" s="1">
        <f>Table1[[#This Row],[Total Profit]]/Table1[[#This Row],[Total Sales USD]]</f>
        <v>0.56900977530498487</v>
      </c>
    </row>
    <row r="20" spans="1:11" x14ac:dyDescent="0.2">
      <c r="A20">
        <v>7</v>
      </c>
      <c r="B20" t="s">
        <v>27</v>
      </c>
      <c r="C20" t="s">
        <v>25</v>
      </c>
      <c r="D20" t="s">
        <v>28</v>
      </c>
      <c r="E20">
        <v>2023</v>
      </c>
      <c r="F20" t="s">
        <v>19</v>
      </c>
      <c r="G20" s="4">
        <v>88360</v>
      </c>
      <c r="H20" s="3">
        <v>3850925.6984610199</v>
      </c>
      <c r="I20" s="3">
        <v>2302637.1284610098</v>
      </c>
      <c r="J20" s="2">
        <v>5.8726712538862198E-2</v>
      </c>
      <c r="K20" s="1">
        <f>Table1[[#This Row],[Total Profit]]/Table1[[#This Row],[Total Sales USD]]</f>
        <v>0.59794379553498878</v>
      </c>
    </row>
    <row r="21" spans="1:11" x14ac:dyDescent="0.2">
      <c r="A21">
        <v>7</v>
      </c>
      <c r="B21" t="s">
        <v>27</v>
      </c>
      <c r="C21" t="s">
        <v>25</v>
      </c>
      <c r="D21" t="s">
        <v>28</v>
      </c>
      <c r="E21">
        <v>2024</v>
      </c>
      <c r="F21" t="s">
        <v>13</v>
      </c>
      <c r="G21" s="4">
        <v>212888</v>
      </c>
      <c r="H21" s="3">
        <v>9396002.8693259303</v>
      </c>
      <c r="I21" s="3">
        <v>5738789.05932598</v>
      </c>
      <c r="J21" s="2">
        <v>5.5276377223634598E-2</v>
      </c>
      <c r="K21" s="1">
        <f>Table1[[#This Row],[Total Profit]]/Table1[[#This Row],[Total Sales USD]]</f>
        <v>0.61076918974351924</v>
      </c>
    </row>
    <row r="22" spans="1:11" x14ac:dyDescent="0.2">
      <c r="A22">
        <v>7</v>
      </c>
      <c r="B22" t="s">
        <v>27</v>
      </c>
      <c r="C22" t="s">
        <v>25</v>
      </c>
      <c r="D22" t="s">
        <v>28</v>
      </c>
      <c r="E22">
        <v>2025</v>
      </c>
      <c r="F22" t="s">
        <v>14</v>
      </c>
      <c r="G22" s="4">
        <v>13017</v>
      </c>
      <c r="H22" s="3">
        <v>526892.60995799897</v>
      </c>
      <c r="I22" s="3">
        <v>298289.95995799999</v>
      </c>
      <c r="J22" s="2">
        <v>5.53376725606467E-2</v>
      </c>
      <c r="K22" s="1">
        <f>Table1[[#This Row],[Total Profit]]/Table1[[#This Row],[Total Sales USD]]</f>
        <v>0.56613046818359825</v>
      </c>
    </row>
    <row r="23" spans="1:11" x14ac:dyDescent="0.2">
      <c r="A23">
        <v>8</v>
      </c>
      <c r="B23" t="s">
        <v>29</v>
      </c>
      <c r="C23" t="s">
        <v>25</v>
      </c>
      <c r="D23" t="s">
        <v>30</v>
      </c>
      <c r="E23">
        <v>2023</v>
      </c>
      <c r="F23" t="s">
        <v>13</v>
      </c>
      <c r="G23" s="4">
        <v>186883</v>
      </c>
      <c r="H23" s="3">
        <v>8167001.512542</v>
      </c>
      <c r="I23" s="3">
        <v>4901372.77254197</v>
      </c>
      <c r="J23" s="2">
        <v>5.48518100814561E-2</v>
      </c>
      <c r="K23" s="1">
        <f>Table1[[#This Row],[Total Profit]]/Table1[[#This Row],[Total Sales USD]]</f>
        <v>0.60014348779230298</v>
      </c>
    </row>
    <row r="24" spans="1:11" x14ac:dyDescent="0.2">
      <c r="A24">
        <v>8</v>
      </c>
      <c r="B24" t="s">
        <v>29</v>
      </c>
      <c r="C24" t="s">
        <v>25</v>
      </c>
      <c r="D24" t="s">
        <v>30</v>
      </c>
      <c r="E24">
        <v>2024</v>
      </c>
      <c r="F24" t="s">
        <v>13</v>
      </c>
      <c r="G24" s="4">
        <v>199928</v>
      </c>
      <c r="H24" s="3">
        <v>8868264.9351927601</v>
      </c>
      <c r="I24" s="3">
        <v>5437137.5351930596</v>
      </c>
      <c r="J24" s="2">
        <v>5.53315963715185E-2</v>
      </c>
      <c r="K24" s="1">
        <f>Table1[[#This Row],[Total Profit]]/Table1[[#This Row],[Total Sales USD]]</f>
        <v>0.61310048526136851</v>
      </c>
    </row>
    <row r="25" spans="1:11" x14ac:dyDescent="0.2">
      <c r="A25">
        <v>8</v>
      </c>
      <c r="B25" t="s">
        <v>29</v>
      </c>
      <c r="C25" t="s">
        <v>25</v>
      </c>
      <c r="D25" t="s">
        <v>30</v>
      </c>
      <c r="E25">
        <v>2025</v>
      </c>
      <c r="F25" t="s">
        <v>14</v>
      </c>
      <c r="G25" s="4">
        <v>20664</v>
      </c>
      <c r="H25" s="3">
        <v>845147.50781399605</v>
      </c>
      <c r="I25" s="3">
        <v>478177.47781400301</v>
      </c>
      <c r="J25" s="2">
        <v>5.2555943671375102E-2</v>
      </c>
      <c r="K25" s="1">
        <f>Table1[[#This Row],[Total Profit]]/Table1[[#This Row],[Total Sales USD]]</f>
        <v>0.565791738593451</v>
      </c>
    </row>
    <row r="26" spans="1:11" x14ac:dyDescent="0.2">
      <c r="A26">
        <v>9</v>
      </c>
      <c r="B26" t="s">
        <v>31</v>
      </c>
      <c r="C26" t="s">
        <v>25</v>
      </c>
      <c r="D26" t="s">
        <v>32</v>
      </c>
      <c r="E26">
        <v>2023</v>
      </c>
      <c r="F26" t="s">
        <v>13</v>
      </c>
      <c r="G26" s="4">
        <v>158840</v>
      </c>
      <c r="H26" s="3">
        <v>6786146.8387380904</v>
      </c>
      <c r="I26" s="3">
        <v>4002701.05873799</v>
      </c>
      <c r="J26" s="2">
        <v>5.73421732527057E-2</v>
      </c>
      <c r="K26" s="1">
        <f>Table1[[#This Row],[Total Profit]]/Table1[[#This Row],[Total Sales USD]]</f>
        <v>0.58983413619772296</v>
      </c>
    </row>
    <row r="27" spans="1:11" x14ac:dyDescent="0.2">
      <c r="A27">
        <v>9</v>
      </c>
      <c r="B27" t="s">
        <v>31</v>
      </c>
      <c r="C27" t="s">
        <v>25</v>
      </c>
      <c r="D27" t="s">
        <v>32</v>
      </c>
      <c r="E27">
        <v>2024</v>
      </c>
      <c r="F27" t="s">
        <v>13</v>
      </c>
      <c r="G27" s="4">
        <v>170548</v>
      </c>
      <c r="H27" s="3">
        <v>7480058.4131789301</v>
      </c>
      <c r="I27" s="3">
        <v>4564318.4831789704</v>
      </c>
      <c r="J27" s="2">
        <v>5.6511984176283302E-2</v>
      </c>
      <c r="K27" s="1">
        <f>Table1[[#This Row],[Total Profit]]/Table1[[#This Row],[Total Sales USD]]</f>
        <v>0.61019824058288241</v>
      </c>
    </row>
    <row r="28" spans="1:11" x14ac:dyDescent="0.2">
      <c r="A28">
        <v>9</v>
      </c>
      <c r="B28" t="s">
        <v>31</v>
      </c>
      <c r="C28" t="s">
        <v>25</v>
      </c>
      <c r="D28" t="s">
        <v>32</v>
      </c>
      <c r="E28">
        <v>2025</v>
      </c>
      <c r="F28" t="s">
        <v>14</v>
      </c>
      <c r="G28" s="4">
        <v>17260</v>
      </c>
      <c r="H28" s="3">
        <v>716196.05397599901</v>
      </c>
      <c r="I28" s="3">
        <v>411674.703976002</v>
      </c>
      <c r="J28" s="2">
        <v>5.0966192386053398E-2</v>
      </c>
      <c r="K28" s="1">
        <f>Table1[[#This Row],[Total Profit]]/Table1[[#This Row],[Total Sales USD]]</f>
        <v>0.57480727754721472</v>
      </c>
    </row>
    <row r="29" spans="1:11" x14ac:dyDescent="0.2">
      <c r="A29">
        <v>10</v>
      </c>
      <c r="B29" t="s">
        <v>33</v>
      </c>
      <c r="C29" t="s">
        <v>25</v>
      </c>
      <c r="D29" t="s">
        <v>34</v>
      </c>
      <c r="E29">
        <v>2023</v>
      </c>
      <c r="F29" t="s">
        <v>19</v>
      </c>
      <c r="G29" s="4">
        <v>89545</v>
      </c>
      <c r="H29" s="3">
        <v>3899219.6698380201</v>
      </c>
      <c r="I29" s="3">
        <v>2337618.4398379899</v>
      </c>
      <c r="J29" s="2">
        <v>5.3692758952124699E-2</v>
      </c>
      <c r="K29" s="1">
        <f>Table1[[#This Row],[Total Profit]]/Table1[[#This Row],[Total Sales USD]]</f>
        <v>0.59950929616004378</v>
      </c>
    </row>
    <row r="30" spans="1:11" x14ac:dyDescent="0.2">
      <c r="A30">
        <v>10</v>
      </c>
      <c r="B30" t="s">
        <v>33</v>
      </c>
      <c r="C30" t="s">
        <v>25</v>
      </c>
      <c r="D30" t="s">
        <v>34</v>
      </c>
      <c r="E30">
        <v>2024</v>
      </c>
      <c r="F30" t="s">
        <v>13</v>
      </c>
      <c r="G30" s="4">
        <v>119917</v>
      </c>
      <c r="H30" s="3">
        <v>5267236.18698599</v>
      </c>
      <c r="I30" s="3">
        <v>3201874.14698601</v>
      </c>
      <c r="J30" s="2">
        <v>5.8207213053035098E-2</v>
      </c>
      <c r="K30" s="1">
        <f>Table1[[#This Row],[Total Profit]]/Table1[[#This Row],[Total Sales USD]]</f>
        <v>0.60788505267658821</v>
      </c>
    </row>
    <row r="31" spans="1:11" x14ac:dyDescent="0.2">
      <c r="A31">
        <v>10</v>
      </c>
      <c r="B31" t="s">
        <v>33</v>
      </c>
      <c r="C31" t="s">
        <v>25</v>
      </c>
      <c r="D31" t="s">
        <v>34</v>
      </c>
      <c r="E31">
        <v>2025</v>
      </c>
      <c r="F31" t="s">
        <v>14</v>
      </c>
      <c r="G31" s="4">
        <v>9849</v>
      </c>
      <c r="H31" s="3">
        <v>390116.898621</v>
      </c>
      <c r="I31" s="3">
        <v>217841.26862099901</v>
      </c>
      <c r="J31" s="2">
        <v>6.4103098955371404E-2</v>
      </c>
      <c r="K31" s="1">
        <f>Table1[[#This Row],[Total Profit]]/Table1[[#This Row],[Total Sales USD]]</f>
        <v>0.55839998059820684</v>
      </c>
    </row>
    <row r="32" spans="1:11" x14ac:dyDescent="0.2">
      <c r="A32">
        <v>11</v>
      </c>
      <c r="B32" t="s">
        <v>35</v>
      </c>
      <c r="C32" t="s">
        <v>36</v>
      </c>
      <c r="D32" t="s">
        <v>37</v>
      </c>
      <c r="E32">
        <v>2023</v>
      </c>
      <c r="F32" t="s">
        <v>19</v>
      </c>
      <c r="G32" s="4">
        <v>110725</v>
      </c>
      <c r="H32" s="3">
        <v>4434389.36924899</v>
      </c>
      <c r="I32" s="3">
        <v>2496761.3792490098</v>
      </c>
      <c r="J32" s="2">
        <v>5.80379639237074E-2</v>
      </c>
      <c r="K32" s="1">
        <f>Table1[[#This Row],[Total Profit]]/Table1[[#This Row],[Total Sales USD]]</f>
        <v>0.56304513910375498</v>
      </c>
    </row>
    <row r="33" spans="1:11" x14ac:dyDescent="0.2">
      <c r="A33">
        <v>11</v>
      </c>
      <c r="B33" t="s">
        <v>35</v>
      </c>
      <c r="C33" t="s">
        <v>36</v>
      </c>
      <c r="D33" t="s">
        <v>37</v>
      </c>
      <c r="E33">
        <v>2024</v>
      </c>
      <c r="F33" t="s">
        <v>13</v>
      </c>
      <c r="G33" s="4">
        <v>172547</v>
      </c>
      <c r="H33" s="3">
        <v>6843908.4050739696</v>
      </c>
      <c r="I33" s="3">
        <v>3893137.4850740102</v>
      </c>
      <c r="J33" s="2">
        <v>5.5904267782452499E-2</v>
      </c>
      <c r="K33" s="1">
        <f>Table1[[#This Row],[Total Profit]]/Table1[[#This Row],[Total Sales USD]]</f>
        <v>0.56884710528675364</v>
      </c>
    </row>
    <row r="34" spans="1:11" x14ac:dyDescent="0.2">
      <c r="A34">
        <v>11</v>
      </c>
      <c r="B34" t="s">
        <v>35</v>
      </c>
      <c r="C34" t="s">
        <v>36</v>
      </c>
      <c r="D34" t="s">
        <v>37</v>
      </c>
      <c r="E34">
        <v>2025</v>
      </c>
      <c r="F34" t="s">
        <v>14</v>
      </c>
      <c r="G34" s="4">
        <v>17194</v>
      </c>
      <c r="H34" s="3">
        <v>624465.39484999899</v>
      </c>
      <c r="I34" s="3">
        <v>322623.794850001</v>
      </c>
      <c r="J34" s="2">
        <v>5.5924150520017701E-2</v>
      </c>
      <c r="K34" s="1">
        <f>Table1[[#This Row],[Total Profit]]/Table1[[#This Row],[Total Sales USD]]</f>
        <v>0.51663998919827658</v>
      </c>
    </row>
    <row r="35" spans="1:11" x14ac:dyDescent="0.2">
      <c r="A35">
        <v>12</v>
      </c>
      <c r="B35" t="s">
        <v>38</v>
      </c>
      <c r="C35" t="s">
        <v>36</v>
      </c>
      <c r="D35" t="s">
        <v>39</v>
      </c>
      <c r="E35">
        <v>2023</v>
      </c>
      <c r="F35" t="s">
        <v>14</v>
      </c>
      <c r="G35" s="4">
        <v>67957</v>
      </c>
      <c r="H35" s="3">
        <v>2730082.0880419901</v>
      </c>
      <c r="I35" s="3">
        <v>1538487.4080419899</v>
      </c>
      <c r="J35" s="2">
        <v>5.5020696334921501E-2</v>
      </c>
      <c r="K35" s="1">
        <f>Table1[[#This Row],[Total Profit]]/Table1[[#This Row],[Total Sales USD]]</f>
        <v>0.56353155635162244</v>
      </c>
    </row>
    <row r="36" spans="1:11" x14ac:dyDescent="0.2">
      <c r="A36">
        <v>12</v>
      </c>
      <c r="B36" t="s">
        <v>38</v>
      </c>
      <c r="C36" t="s">
        <v>36</v>
      </c>
      <c r="D36" t="s">
        <v>39</v>
      </c>
      <c r="E36">
        <v>2024</v>
      </c>
      <c r="F36" t="s">
        <v>19</v>
      </c>
      <c r="G36" s="4">
        <v>101377</v>
      </c>
      <c r="H36" s="3">
        <v>3985430.3186650299</v>
      </c>
      <c r="I36" s="3">
        <v>2242918.8486649999</v>
      </c>
      <c r="J36" s="2">
        <v>5.82266777431256E-2</v>
      </c>
      <c r="K36" s="1">
        <f>Table1[[#This Row],[Total Profit]]/Table1[[#This Row],[Total Sales USD]]</f>
        <v>0.56277959199554994</v>
      </c>
    </row>
    <row r="37" spans="1:11" x14ac:dyDescent="0.2">
      <c r="A37">
        <v>12</v>
      </c>
      <c r="B37" t="s">
        <v>38</v>
      </c>
      <c r="C37" t="s">
        <v>36</v>
      </c>
      <c r="D37" t="s">
        <v>39</v>
      </c>
      <c r="E37">
        <v>2025</v>
      </c>
      <c r="F37" t="s">
        <v>14</v>
      </c>
      <c r="G37" s="4">
        <v>9685</v>
      </c>
      <c r="H37" s="3">
        <v>364873.91111400101</v>
      </c>
      <c r="I37" s="3">
        <v>194820.85111399999</v>
      </c>
      <c r="J37" s="2">
        <v>4.28715878798855E-2</v>
      </c>
      <c r="K37" s="1">
        <f>Table1[[#This Row],[Total Profit]]/Table1[[#This Row],[Total Sales USD]]</f>
        <v>0.53394020558825395</v>
      </c>
    </row>
    <row r="38" spans="1:11" x14ac:dyDescent="0.2">
      <c r="A38">
        <v>13</v>
      </c>
      <c r="B38" t="s">
        <v>40</v>
      </c>
      <c r="C38" t="s">
        <v>36</v>
      </c>
      <c r="D38" t="s">
        <v>41</v>
      </c>
      <c r="E38">
        <v>2023</v>
      </c>
      <c r="F38" t="s">
        <v>14</v>
      </c>
      <c r="G38" s="4">
        <v>56622</v>
      </c>
      <c r="H38" s="3">
        <v>2276633.6609190102</v>
      </c>
      <c r="I38" s="3">
        <v>1286089.3709189901</v>
      </c>
      <c r="J38" s="2">
        <v>5.8170264920697899E-2</v>
      </c>
      <c r="K38" s="1">
        <f>Table1[[#This Row],[Total Profit]]/Table1[[#This Row],[Total Sales USD]]</f>
        <v>0.5649083526243891</v>
      </c>
    </row>
    <row r="39" spans="1:11" x14ac:dyDescent="0.2">
      <c r="A39">
        <v>13</v>
      </c>
      <c r="B39" t="s">
        <v>40</v>
      </c>
      <c r="C39" t="s">
        <v>36</v>
      </c>
      <c r="D39" t="s">
        <v>41</v>
      </c>
      <c r="E39">
        <v>2024</v>
      </c>
      <c r="F39" t="s">
        <v>14</v>
      </c>
      <c r="G39" s="4">
        <v>55669</v>
      </c>
      <c r="H39" s="3">
        <v>2195444.4794920101</v>
      </c>
      <c r="I39" s="3">
        <v>1234012.43949199</v>
      </c>
      <c r="J39" s="2">
        <v>5.56485647555316E-2</v>
      </c>
      <c r="K39" s="1">
        <f>Table1[[#This Row],[Total Profit]]/Table1[[#This Row],[Total Sales USD]]</f>
        <v>0.56207863647616374</v>
      </c>
    </row>
    <row r="40" spans="1:11" x14ac:dyDescent="0.2">
      <c r="A40">
        <v>13</v>
      </c>
      <c r="B40" t="s">
        <v>40</v>
      </c>
      <c r="C40" t="s">
        <v>36</v>
      </c>
      <c r="D40" t="s">
        <v>41</v>
      </c>
      <c r="E40">
        <v>2025</v>
      </c>
      <c r="F40" t="s">
        <v>14</v>
      </c>
      <c r="G40" s="4">
        <v>12351</v>
      </c>
      <c r="H40" s="3">
        <v>439085.30134300003</v>
      </c>
      <c r="I40" s="3">
        <v>221059.82134299999</v>
      </c>
      <c r="J40" s="2">
        <v>5.8804289511546502E-2</v>
      </c>
      <c r="K40" s="1">
        <f>Table1[[#This Row],[Total Profit]]/Table1[[#This Row],[Total Sales USD]]</f>
        <v>0.50345529824582946</v>
      </c>
    </row>
    <row r="41" spans="1:11" x14ac:dyDescent="0.2">
      <c r="A41">
        <v>14</v>
      </c>
      <c r="B41" t="s">
        <v>42</v>
      </c>
      <c r="C41" t="s">
        <v>36</v>
      </c>
      <c r="D41" t="s">
        <v>43</v>
      </c>
      <c r="E41">
        <v>2023</v>
      </c>
      <c r="F41" t="s">
        <v>14</v>
      </c>
      <c r="G41" s="4">
        <v>76859</v>
      </c>
      <c r="H41" s="3">
        <v>3036810.838556</v>
      </c>
      <c r="I41" s="3">
        <v>1696312.9385559999</v>
      </c>
      <c r="J41" s="2">
        <v>5.5531889597187398E-2</v>
      </c>
      <c r="K41" s="1">
        <f>Table1[[#This Row],[Total Profit]]/Table1[[#This Row],[Total Sales USD]]</f>
        <v>0.55858366843902429</v>
      </c>
    </row>
    <row r="42" spans="1:11" x14ac:dyDescent="0.2">
      <c r="A42">
        <v>14</v>
      </c>
      <c r="B42" t="s">
        <v>42</v>
      </c>
      <c r="C42" t="s">
        <v>36</v>
      </c>
      <c r="D42" t="s">
        <v>43</v>
      </c>
      <c r="E42">
        <v>2024</v>
      </c>
      <c r="F42" t="s">
        <v>14</v>
      </c>
      <c r="G42" s="4">
        <v>52371</v>
      </c>
      <c r="H42" s="3">
        <v>2077128.81338102</v>
      </c>
      <c r="I42" s="3">
        <v>1168863.7433809801</v>
      </c>
      <c r="J42" s="2">
        <v>5.4507060603469999E-2</v>
      </c>
      <c r="K42" s="1">
        <f>Table1[[#This Row],[Total Profit]]/Table1[[#This Row],[Total Sales USD]]</f>
        <v>0.56273050368906929</v>
      </c>
    </row>
    <row r="43" spans="1:11" x14ac:dyDescent="0.2">
      <c r="A43">
        <v>14</v>
      </c>
      <c r="B43" t="s">
        <v>42</v>
      </c>
      <c r="C43" t="s">
        <v>36</v>
      </c>
      <c r="D43" t="s">
        <v>43</v>
      </c>
      <c r="E43">
        <v>2025</v>
      </c>
      <c r="F43" t="s">
        <v>14</v>
      </c>
      <c r="G43" s="4">
        <v>7623</v>
      </c>
      <c r="H43" s="3">
        <v>289957.79768800002</v>
      </c>
      <c r="I43" s="3">
        <v>157383.77768799901</v>
      </c>
      <c r="J43" s="2">
        <v>4.4901993319269903E-2</v>
      </c>
      <c r="K43" s="1">
        <f>Table1[[#This Row],[Total Profit]]/Table1[[#This Row],[Total Sales USD]]</f>
        <v>0.5427816701013396</v>
      </c>
    </row>
    <row r="44" spans="1:11" x14ac:dyDescent="0.2">
      <c r="A44">
        <v>15</v>
      </c>
      <c r="B44" t="s">
        <v>44</v>
      </c>
      <c r="C44" t="s">
        <v>36</v>
      </c>
      <c r="D44" t="s">
        <v>45</v>
      </c>
      <c r="E44">
        <v>2023</v>
      </c>
      <c r="F44" t="s">
        <v>14</v>
      </c>
      <c r="G44" s="4">
        <v>45626</v>
      </c>
      <c r="H44" s="3">
        <v>1842120.99284399</v>
      </c>
      <c r="I44" s="3">
        <v>1047929.37284399</v>
      </c>
      <c r="J44" s="2">
        <v>5.2073226862836997E-2</v>
      </c>
      <c r="K44" s="1">
        <f>Table1[[#This Row],[Total Profit]]/Table1[[#This Row],[Total Sales USD]]</f>
        <v>0.56887108768361971</v>
      </c>
    </row>
    <row r="45" spans="1:11" x14ac:dyDescent="0.2">
      <c r="A45">
        <v>15</v>
      </c>
      <c r="B45" t="s">
        <v>44</v>
      </c>
      <c r="C45" t="s">
        <v>36</v>
      </c>
      <c r="D45" t="s">
        <v>45</v>
      </c>
      <c r="E45">
        <v>2024</v>
      </c>
      <c r="F45" t="s">
        <v>14</v>
      </c>
      <c r="G45" s="4">
        <v>27853</v>
      </c>
      <c r="H45" s="3">
        <v>1108594.53372399</v>
      </c>
      <c r="I45" s="3">
        <v>627676.92372399499</v>
      </c>
      <c r="J45" s="2">
        <v>5.9105348389569198E-2</v>
      </c>
      <c r="K45" s="1">
        <f>Table1[[#This Row],[Total Profit]]/Table1[[#This Row],[Total Sales USD]]</f>
        <v>0.56619160985351702</v>
      </c>
    </row>
    <row r="46" spans="1:11" x14ac:dyDescent="0.2">
      <c r="A46">
        <v>15</v>
      </c>
      <c r="B46" t="s">
        <v>44</v>
      </c>
      <c r="C46" t="s">
        <v>36</v>
      </c>
      <c r="D46" t="s">
        <v>45</v>
      </c>
      <c r="E46">
        <v>2025</v>
      </c>
      <c r="F46" t="s">
        <v>14</v>
      </c>
      <c r="G46" s="4">
        <v>10867</v>
      </c>
      <c r="H46" s="3">
        <v>395971.25655800098</v>
      </c>
      <c r="I46" s="3">
        <v>202180.496558001</v>
      </c>
      <c r="J46" s="2">
        <v>5.2442291788781903E-2</v>
      </c>
      <c r="K46" s="1">
        <f>Table1[[#This Row],[Total Profit]]/Table1[[#This Row],[Total Sales USD]]</f>
        <v>0.51059387066491801</v>
      </c>
    </row>
    <row r="47" spans="1:11" x14ac:dyDescent="0.2">
      <c r="A47">
        <v>16</v>
      </c>
      <c r="B47" t="s">
        <v>46</v>
      </c>
      <c r="C47" t="s">
        <v>47</v>
      </c>
      <c r="D47" t="s">
        <v>48</v>
      </c>
      <c r="E47">
        <v>2023</v>
      </c>
      <c r="F47" t="s">
        <v>14</v>
      </c>
      <c r="G47" s="4">
        <v>69142</v>
      </c>
      <c r="H47" s="3">
        <v>2395948.6980000301</v>
      </c>
      <c r="I47" s="3">
        <v>1195502.2779999999</v>
      </c>
      <c r="J47" s="2">
        <v>5.73578519034732E-2</v>
      </c>
      <c r="K47" s="1">
        <f>Table1[[#This Row],[Total Profit]]/Table1[[#This Row],[Total Sales USD]]</f>
        <v>0.49896822874292818</v>
      </c>
    </row>
    <row r="48" spans="1:11" x14ac:dyDescent="0.2">
      <c r="A48">
        <v>16</v>
      </c>
      <c r="B48" t="s">
        <v>46</v>
      </c>
      <c r="C48" t="s">
        <v>47</v>
      </c>
      <c r="D48" t="s">
        <v>48</v>
      </c>
      <c r="E48">
        <v>2024</v>
      </c>
      <c r="F48" t="s">
        <v>14</v>
      </c>
      <c r="G48" s="4">
        <v>126470</v>
      </c>
      <c r="H48" s="3">
        <v>3983497.9469999601</v>
      </c>
      <c r="I48" s="3">
        <v>1808566.017</v>
      </c>
      <c r="J48" s="2">
        <v>5.4839796594035997E-2</v>
      </c>
      <c r="K48" s="1">
        <f>Table1[[#This Row],[Total Profit]]/Table1[[#This Row],[Total Sales USD]]</f>
        <v>0.454014547280503</v>
      </c>
    </row>
    <row r="49" spans="1:11" x14ac:dyDescent="0.2">
      <c r="A49">
        <v>16</v>
      </c>
      <c r="B49" t="s">
        <v>46</v>
      </c>
      <c r="C49" t="s">
        <v>47</v>
      </c>
      <c r="D49" t="s">
        <v>48</v>
      </c>
      <c r="E49">
        <v>2025</v>
      </c>
      <c r="F49" t="s">
        <v>14</v>
      </c>
      <c r="G49" s="4">
        <v>11937</v>
      </c>
      <c r="H49" s="3">
        <v>330160.53199999803</v>
      </c>
      <c r="I49" s="3">
        <v>122521.151999999</v>
      </c>
      <c r="J49" s="2">
        <v>5.0974054303104803E-2</v>
      </c>
      <c r="K49" s="1">
        <f>Table1[[#This Row],[Total Profit]]/Table1[[#This Row],[Total Sales USD]]</f>
        <v>0.37109569474524512</v>
      </c>
    </row>
    <row r="50" spans="1:11" x14ac:dyDescent="0.2">
      <c r="A50">
        <v>17</v>
      </c>
      <c r="B50" t="s">
        <v>49</v>
      </c>
      <c r="C50" t="s">
        <v>47</v>
      </c>
      <c r="D50" t="s">
        <v>50</v>
      </c>
      <c r="E50">
        <v>2023</v>
      </c>
      <c r="F50" t="s">
        <v>14</v>
      </c>
      <c r="G50" s="4">
        <v>77913</v>
      </c>
      <c r="H50" s="3">
        <v>2696715.6580000399</v>
      </c>
      <c r="I50" s="3">
        <v>1338024.058</v>
      </c>
      <c r="J50" s="2">
        <v>5.72951559494395E-2</v>
      </c>
      <c r="K50" s="1">
        <f>Table1[[#This Row],[Total Profit]]/Table1[[#This Row],[Total Sales USD]]</f>
        <v>0.49616801609418332</v>
      </c>
    </row>
    <row r="51" spans="1:11" x14ac:dyDescent="0.2">
      <c r="A51">
        <v>17</v>
      </c>
      <c r="B51" t="s">
        <v>49</v>
      </c>
      <c r="C51" t="s">
        <v>47</v>
      </c>
      <c r="D51" t="s">
        <v>50</v>
      </c>
      <c r="E51">
        <v>2024</v>
      </c>
      <c r="F51" t="s">
        <v>14</v>
      </c>
      <c r="G51" s="4">
        <v>62632</v>
      </c>
      <c r="H51" s="3">
        <v>1991148.09399999</v>
      </c>
      <c r="I51" s="3">
        <v>917100.02400000498</v>
      </c>
      <c r="J51" s="2">
        <v>5.72061130620014E-2</v>
      </c>
      <c r="K51" s="1">
        <f>Table1[[#This Row],[Total Profit]]/Table1[[#This Row],[Total Sales USD]]</f>
        <v>0.46058855529809206</v>
      </c>
    </row>
    <row r="52" spans="1:11" x14ac:dyDescent="0.2">
      <c r="A52">
        <v>17</v>
      </c>
      <c r="B52" t="s">
        <v>49</v>
      </c>
      <c r="C52" t="s">
        <v>47</v>
      </c>
      <c r="D52" t="s">
        <v>50</v>
      </c>
      <c r="E52">
        <v>2025</v>
      </c>
      <c r="F52" t="s">
        <v>14</v>
      </c>
      <c r="G52" s="4">
        <v>8180</v>
      </c>
      <c r="H52" s="3">
        <v>224642.02799999999</v>
      </c>
      <c r="I52" s="3">
        <v>81725.888000000006</v>
      </c>
      <c r="J52" s="2">
        <v>4.7420290800996301E-2</v>
      </c>
      <c r="K52" s="1">
        <f>Table1[[#This Row],[Total Profit]]/Table1[[#This Row],[Total Sales USD]]</f>
        <v>0.36380497775776849</v>
      </c>
    </row>
    <row r="53" spans="1:11" x14ac:dyDescent="0.2">
      <c r="A53">
        <v>18</v>
      </c>
      <c r="B53" t="s">
        <v>51</v>
      </c>
      <c r="C53" t="s">
        <v>47</v>
      </c>
      <c r="D53" t="s">
        <v>52</v>
      </c>
      <c r="E53">
        <v>2023</v>
      </c>
      <c r="F53" t="s">
        <v>14</v>
      </c>
      <c r="G53" s="4">
        <v>34288</v>
      </c>
      <c r="H53" s="3">
        <v>1205162.9329999899</v>
      </c>
      <c r="I53" s="3">
        <v>601955.47300000198</v>
      </c>
      <c r="J53" s="2">
        <v>5.6401898383598201E-2</v>
      </c>
      <c r="K53" s="1">
        <f>Table1[[#This Row],[Total Profit]]/Table1[[#This Row],[Total Sales USD]]</f>
        <v>0.49948057355329151</v>
      </c>
    </row>
    <row r="54" spans="1:11" x14ac:dyDescent="0.2">
      <c r="A54">
        <v>18</v>
      </c>
      <c r="B54" t="s">
        <v>51</v>
      </c>
      <c r="C54" t="s">
        <v>47</v>
      </c>
      <c r="D54" t="s">
        <v>52</v>
      </c>
      <c r="E54">
        <v>2024</v>
      </c>
      <c r="F54" t="s">
        <v>14</v>
      </c>
      <c r="G54" s="4">
        <v>50180</v>
      </c>
      <c r="H54" s="3">
        <v>1587567.00699999</v>
      </c>
      <c r="I54" s="3">
        <v>726666.14699999802</v>
      </c>
      <c r="J54" s="2">
        <v>5.6776585436324301E-2</v>
      </c>
      <c r="K54" s="1">
        <f>Table1[[#This Row],[Total Profit]]/Table1[[#This Row],[Total Sales USD]]</f>
        <v>0.45772313470608844</v>
      </c>
    </row>
    <row r="55" spans="1:11" x14ac:dyDescent="0.2">
      <c r="A55">
        <v>18</v>
      </c>
      <c r="B55" t="s">
        <v>51</v>
      </c>
      <c r="C55" t="s">
        <v>47</v>
      </c>
      <c r="D55" t="s">
        <v>52</v>
      </c>
      <c r="E55">
        <v>2025</v>
      </c>
      <c r="F55" t="s">
        <v>14</v>
      </c>
      <c r="G55" s="4">
        <v>5699</v>
      </c>
      <c r="H55" s="3">
        <v>158584.685999999</v>
      </c>
      <c r="I55" s="3">
        <v>58051.356000000102</v>
      </c>
      <c r="J55" s="2">
        <v>5.2954945570316297E-2</v>
      </c>
      <c r="K55" s="1">
        <f>Table1[[#This Row],[Total Profit]]/Table1[[#This Row],[Total Sales USD]]</f>
        <v>0.36605902791900391</v>
      </c>
    </row>
    <row r="56" spans="1:11" x14ac:dyDescent="0.2">
      <c r="A56">
        <v>19</v>
      </c>
      <c r="B56" t="s">
        <v>53</v>
      </c>
      <c r="C56" t="s">
        <v>47</v>
      </c>
      <c r="D56" t="s">
        <v>54</v>
      </c>
      <c r="E56">
        <v>2023</v>
      </c>
      <c r="F56" t="s">
        <v>14</v>
      </c>
      <c r="G56" s="4">
        <v>54257</v>
      </c>
      <c r="H56" s="3">
        <v>1910904.04700002</v>
      </c>
      <c r="I56" s="3">
        <v>962100.75700000196</v>
      </c>
      <c r="J56" s="2">
        <v>5.6429910219097802E-2</v>
      </c>
      <c r="K56" s="1">
        <f>Table1[[#This Row],[Total Profit]]/Table1[[#This Row],[Total Sales USD]]</f>
        <v>0.50347936543984506</v>
      </c>
    </row>
    <row r="57" spans="1:11" x14ac:dyDescent="0.2">
      <c r="A57">
        <v>19</v>
      </c>
      <c r="B57" t="s">
        <v>53</v>
      </c>
      <c r="C57" t="s">
        <v>47</v>
      </c>
      <c r="D57" t="s">
        <v>54</v>
      </c>
      <c r="E57">
        <v>2024</v>
      </c>
      <c r="F57" t="s">
        <v>14</v>
      </c>
      <c r="G57" s="4">
        <v>38752</v>
      </c>
      <c r="H57" s="3">
        <v>1205955.2959999801</v>
      </c>
      <c r="I57" s="3">
        <v>545962.975999997</v>
      </c>
      <c r="J57" s="2">
        <v>5.6229712774590601E-2</v>
      </c>
      <c r="K57" s="1">
        <f>Table1[[#This Row],[Total Profit]]/Table1[[#This Row],[Total Sales USD]]</f>
        <v>0.45272240008472586</v>
      </c>
    </row>
    <row r="58" spans="1:11" x14ac:dyDescent="0.2">
      <c r="A58">
        <v>19</v>
      </c>
      <c r="B58" t="s">
        <v>53</v>
      </c>
      <c r="C58" t="s">
        <v>47</v>
      </c>
      <c r="D58" t="s">
        <v>54</v>
      </c>
      <c r="E58">
        <v>2025</v>
      </c>
      <c r="F58" t="s">
        <v>14</v>
      </c>
      <c r="G58" s="4">
        <v>4849</v>
      </c>
      <c r="H58" s="3">
        <v>129421.474</v>
      </c>
      <c r="I58" s="3">
        <v>43896.8840000001</v>
      </c>
      <c r="J58" s="2">
        <v>6.9614754732624906E-2</v>
      </c>
      <c r="K58" s="1">
        <f>Table1[[#This Row],[Total Profit]]/Table1[[#This Row],[Total Sales USD]]</f>
        <v>0.33917774727245109</v>
      </c>
    </row>
    <row r="59" spans="1:11" x14ac:dyDescent="0.2">
      <c r="A59">
        <v>20</v>
      </c>
      <c r="B59" t="s">
        <v>55</v>
      </c>
      <c r="C59" t="s">
        <v>47</v>
      </c>
      <c r="D59" t="s">
        <v>56</v>
      </c>
      <c r="E59">
        <v>2023</v>
      </c>
      <c r="F59" t="s">
        <v>14</v>
      </c>
      <c r="G59" s="4">
        <v>65391</v>
      </c>
      <c r="H59" s="3">
        <v>2306980.4420000101</v>
      </c>
      <c r="I59" s="3">
        <v>1157536.422</v>
      </c>
      <c r="J59" s="2">
        <v>5.4523674195739599E-2</v>
      </c>
      <c r="K59" s="1">
        <f>Table1[[#This Row],[Total Profit]]/Table1[[#This Row],[Total Sales USD]]</f>
        <v>0.50175389479959664</v>
      </c>
    </row>
    <row r="60" spans="1:11" x14ac:dyDescent="0.2">
      <c r="A60">
        <v>20</v>
      </c>
      <c r="B60" t="s">
        <v>55</v>
      </c>
      <c r="C60" t="s">
        <v>47</v>
      </c>
      <c r="D60" t="s">
        <v>56</v>
      </c>
      <c r="E60">
        <v>2024</v>
      </c>
      <c r="F60" t="s">
        <v>14</v>
      </c>
      <c r="G60" s="4">
        <v>74542</v>
      </c>
      <c r="H60" s="3">
        <v>2347753.55100002</v>
      </c>
      <c r="I60" s="3">
        <v>1067970.54099999</v>
      </c>
      <c r="J60" s="2">
        <v>5.6308016748324002E-2</v>
      </c>
      <c r="K60" s="1">
        <f>Table1[[#This Row],[Total Profit]]/Table1[[#This Row],[Total Sales USD]]</f>
        <v>0.45489039535052156</v>
      </c>
    </row>
    <row r="61" spans="1:11" x14ac:dyDescent="0.2">
      <c r="A61">
        <v>20</v>
      </c>
      <c r="B61" t="s">
        <v>55</v>
      </c>
      <c r="C61" t="s">
        <v>47</v>
      </c>
      <c r="D61" t="s">
        <v>56</v>
      </c>
      <c r="E61">
        <v>2025</v>
      </c>
      <c r="F61" t="s">
        <v>14</v>
      </c>
      <c r="G61" s="4">
        <v>5226</v>
      </c>
      <c r="H61" s="3">
        <v>144718.39199999999</v>
      </c>
      <c r="I61" s="3">
        <v>50545.021999999903</v>
      </c>
      <c r="J61" s="2">
        <v>5.92278612686572E-2</v>
      </c>
      <c r="K61" s="1">
        <f>Table1[[#This Row],[Total Profit]]/Table1[[#This Row],[Total Sales USD]]</f>
        <v>0.34926467397454158</v>
      </c>
    </row>
    <row r="62" spans="1:11" x14ac:dyDescent="0.2">
      <c r="A62">
        <v>21</v>
      </c>
      <c r="B62" t="s">
        <v>57</v>
      </c>
      <c r="C62" t="s">
        <v>58</v>
      </c>
      <c r="D62" t="s">
        <v>59</v>
      </c>
      <c r="E62">
        <v>2023</v>
      </c>
      <c r="F62" t="s">
        <v>19</v>
      </c>
      <c r="G62" s="4">
        <v>110972</v>
      </c>
      <c r="H62" s="3">
        <v>4395941.6065109596</v>
      </c>
      <c r="I62" s="3">
        <v>2462242.76651099</v>
      </c>
      <c r="J62" s="2">
        <v>5.8274591858149899E-2</v>
      </c>
      <c r="K62" s="1">
        <f>Table1[[#This Row],[Total Profit]]/Table1[[#This Row],[Total Sales USD]]</f>
        <v>0.56011725971611837</v>
      </c>
    </row>
    <row r="63" spans="1:11" x14ac:dyDescent="0.2">
      <c r="A63">
        <v>21</v>
      </c>
      <c r="B63" t="s">
        <v>57</v>
      </c>
      <c r="C63" t="s">
        <v>58</v>
      </c>
      <c r="D63" t="s">
        <v>59</v>
      </c>
      <c r="E63">
        <v>2024</v>
      </c>
      <c r="F63" t="s">
        <v>14</v>
      </c>
      <c r="G63" s="4">
        <v>85253</v>
      </c>
      <c r="H63" s="3">
        <v>3389315.8145289798</v>
      </c>
      <c r="I63" s="3">
        <v>1931432.754529</v>
      </c>
      <c r="J63" s="2">
        <v>5.7750500885296499E-2</v>
      </c>
      <c r="K63" s="1">
        <f>Table1[[#This Row],[Total Profit]]/Table1[[#This Row],[Total Sales USD]]</f>
        <v>0.56985918699270433</v>
      </c>
    </row>
    <row r="64" spans="1:11" x14ac:dyDescent="0.2">
      <c r="A64">
        <v>21</v>
      </c>
      <c r="B64" t="s">
        <v>57</v>
      </c>
      <c r="C64" t="s">
        <v>58</v>
      </c>
      <c r="D64" t="s">
        <v>59</v>
      </c>
      <c r="E64">
        <v>2025</v>
      </c>
      <c r="F64" t="s">
        <v>14</v>
      </c>
      <c r="G64" s="4">
        <v>11385</v>
      </c>
      <c r="H64" s="3">
        <v>421147.94482500001</v>
      </c>
      <c r="I64" s="3">
        <v>220897.844824998</v>
      </c>
      <c r="J64" s="2">
        <v>5.6476855819084702E-2</v>
      </c>
      <c r="K64" s="1">
        <f>Table1[[#This Row],[Total Profit]]/Table1[[#This Row],[Total Sales USD]]</f>
        <v>0.52451364785072829</v>
      </c>
    </row>
    <row r="65" spans="1:11" x14ac:dyDescent="0.2">
      <c r="A65">
        <v>22</v>
      </c>
      <c r="B65" t="s">
        <v>60</v>
      </c>
      <c r="C65" t="s">
        <v>58</v>
      </c>
      <c r="D65" t="s">
        <v>61</v>
      </c>
      <c r="E65">
        <v>2023</v>
      </c>
      <c r="F65" t="s">
        <v>14</v>
      </c>
      <c r="G65" s="4">
        <v>52191</v>
      </c>
      <c r="H65" s="3">
        <v>2096575.0299250099</v>
      </c>
      <c r="I65" s="3">
        <v>1189222.659925</v>
      </c>
      <c r="J65" s="2">
        <v>5.84727398808104E-2</v>
      </c>
      <c r="K65" s="1">
        <f>Table1[[#This Row],[Total Profit]]/Table1[[#This Row],[Total Sales USD]]</f>
        <v>0.56722160807549826</v>
      </c>
    </row>
    <row r="66" spans="1:11" x14ac:dyDescent="0.2">
      <c r="A66">
        <v>22</v>
      </c>
      <c r="B66" t="s">
        <v>60</v>
      </c>
      <c r="C66" t="s">
        <v>58</v>
      </c>
      <c r="D66" t="s">
        <v>61</v>
      </c>
      <c r="E66">
        <v>2024</v>
      </c>
      <c r="F66" t="s">
        <v>14</v>
      </c>
      <c r="G66" s="4">
        <v>56901</v>
      </c>
      <c r="H66" s="3">
        <v>2271437.690614</v>
      </c>
      <c r="I66" s="3">
        <v>1300287.440614</v>
      </c>
      <c r="J66" s="2">
        <v>5.7033127080784299E-2</v>
      </c>
      <c r="K66" s="1">
        <f>Table1[[#This Row],[Total Profit]]/Table1[[#This Row],[Total Sales USD]]</f>
        <v>0.57245129196676969</v>
      </c>
    </row>
    <row r="67" spans="1:11" x14ac:dyDescent="0.2">
      <c r="A67">
        <v>22</v>
      </c>
      <c r="B67" t="s">
        <v>60</v>
      </c>
      <c r="C67" t="s">
        <v>58</v>
      </c>
      <c r="D67" t="s">
        <v>61</v>
      </c>
      <c r="E67">
        <v>2025</v>
      </c>
      <c r="F67" t="s">
        <v>14</v>
      </c>
      <c r="G67" s="4">
        <v>14867</v>
      </c>
      <c r="H67" s="3">
        <v>551147.77561600402</v>
      </c>
      <c r="I67" s="3">
        <v>290627.225616001</v>
      </c>
      <c r="J67" s="2">
        <v>5.2120772964218597E-2</v>
      </c>
      <c r="K67" s="1">
        <f>Table1[[#This Row],[Total Profit]]/Table1[[#This Row],[Total Sales USD]]</f>
        <v>0.5273127071794389</v>
      </c>
    </row>
    <row r="68" spans="1:11" x14ac:dyDescent="0.2">
      <c r="A68">
        <v>23</v>
      </c>
      <c r="B68" t="s">
        <v>62</v>
      </c>
      <c r="C68" t="s">
        <v>58</v>
      </c>
      <c r="D68" t="s">
        <v>63</v>
      </c>
      <c r="E68">
        <v>2023</v>
      </c>
      <c r="F68" t="s">
        <v>14</v>
      </c>
      <c r="G68" s="4">
        <v>52312</v>
      </c>
      <c r="H68" s="3">
        <v>2094754.8240809999</v>
      </c>
      <c r="I68" s="3">
        <v>1179014.3140809899</v>
      </c>
      <c r="J68" s="2">
        <v>5.4384195775975898E-2</v>
      </c>
      <c r="K68" s="1">
        <f>Table1[[#This Row],[Total Profit]]/Table1[[#This Row],[Total Sales USD]]</f>
        <v>0.56284119770352647</v>
      </c>
    </row>
    <row r="69" spans="1:11" x14ac:dyDescent="0.2">
      <c r="A69">
        <v>23</v>
      </c>
      <c r="B69" t="s">
        <v>62</v>
      </c>
      <c r="C69" t="s">
        <v>58</v>
      </c>
      <c r="D69" t="s">
        <v>63</v>
      </c>
      <c r="E69">
        <v>2024</v>
      </c>
      <c r="F69" t="s">
        <v>14</v>
      </c>
      <c r="G69" s="4">
        <v>69277</v>
      </c>
      <c r="H69" s="3">
        <v>2764821.4969629799</v>
      </c>
      <c r="I69" s="3">
        <v>1581458.32696298</v>
      </c>
      <c r="J69" s="2">
        <v>5.3686025205821497E-2</v>
      </c>
      <c r="K69" s="1">
        <f>Table1[[#This Row],[Total Profit]]/Table1[[#This Row],[Total Sales USD]]</f>
        <v>0.57199292203859597</v>
      </c>
    </row>
    <row r="70" spans="1:11" x14ac:dyDescent="0.2">
      <c r="A70">
        <v>23</v>
      </c>
      <c r="B70" t="s">
        <v>62</v>
      </c>
      <c r="C70" t="s">
        <v>58</v>
      </c>
      <c r="D70" t="s">
        <v>63</v>
      </c>
      <c r="E70">
        <v>2025</v>
      </c>
      <c r="F70" t="s">
        <v>14</v>
      </c>
      <c r="G70" s="4">
        <v>11521</v>
      </c>
      <c r="H70" s="3">
        <v>424060.96770799998</v>
      </c>
      <c r="I70" s="3">
        <v>221056.65770800001</v>
      </c>
      <c r="J70" s="2">
        <v>5.0379340241224702E-2</v>
      </c>
      <c r="K70" s="1">
        <f>Table1[[#This Row],[Total Profit]]/Table1[[#This Row],[Total Sales USD]]</f>
        <v>0.52128508526211559</v>
      </c>
    </row>
    <row r="71" spans="1:11" x14ac:dyDescent="0.2">
      <c r="A71">
        <v>24</v>
      </c>
      <c r="B71" t="s">
        <v>64</v>
      </c>
      <c r="C71" t="s">
        <v>58</v>
      </c>
      <c r="D71" t="s">
        <v>65</v>
      </c>
      <c r="E71">
        <v>2023</v>
      </c>
      <c r="F71" t="s">
        <v>14</v>
      </c>
      <c r="G71" s="4">
        <v>61702</v>
      </c>
      <c r="H71" s="3">
        <v>2457955.954254</v>
      </c>
      <c r="I71" s="3">
        <v>1384206.27425399</v>
      </c>
      <c r="J71" s="2">
        <v>5.6256184566468803E-2</v>
      </c>
      <c r="K71" s="1">
        <f>Table1[[#This Row],[Total Profit]]/Table1[[#This Row],[Total Sales USD]]</f>
        <v>0.5631534087737966</v>
      </c>
    </row>
    <row r="72" spans="1:11" x14ac:dyDescent="0.2">
      <c r="A72">
        <v>24</v>
      </c>
      <c r="B72" t="s">
        <v>64</v>
      </c>
      <c r="C72" t="s">
        <v>58</v>
      </c>
      <c r="D72" t="s">
        <v>65</v>
      </c>
      <c r="E72">
        <v>2024</v>
      </c>
      <c r="F72" t="s">
        <v>14</v>
      </c>
      <c r="G72" s="4">
        <v>61986</v>
      </c>
      <c r="H72" s="3">
        <v>2434226.1237610001</v>
      </c>
      <c r="I72" s="3">
        <v>1378752.6337609801</v>
      </c>
      <c r="J72" s="2">
        <v>5.71243683942552E-2</v>
      </c>
      <c r="K72" s="1">
        <f>Table1[[#This Row],[Total Profit]]/Table1[[#This Row],[Total Sales USD]]</f>
        <v>0.56640285810043767</v>
      </c>
    </row>
    <row r="73" spans="1:11" x14ac:dyDescent="0.2">
      <c r="A73">
        <v>24</v>
      </c>
      <c r="B73" t="s">
        <v>64</v>
      </c>
      <c r="C73" t="s">
        <v>58</v>
      </c>
      <c r="D73" t="s">
        <v>65</v>
      </c>
      <c r="E73">
        <v>2025</v>
      </c>
      <c r="F73" t="s">
        <v>14</v>
      </c>
      <c r="G73" s="4">
        <v>9395</v>
      </c>
      <c r="H73" s="3">
        <v>347440.16427799902</v>
      </c>
      <c r="I73" s="3">
        <v>184821.80427799901</v>
      </c>
      <c r="J73" s="2">
        <v>4.7677926527620103E-2</v>
      </c>
      <c r="K73" s="1">
        <f>Table1[[#This Row],[Total Profit]]/Table1[[#This Row],[Total Sales USD]]</f>
        <v>0.53195290378148863</v>
      </c>
    </row>
    <row r="74" spans="1:11" x14ac:dyDescent="0.2">
      <c r="A74">
        <v>25</v>
      </c>
      <c r="B74" t="s">
        <v>66</v>
      </c>
      <c r="C74" t="s">
        <v>58</v>
      </c>
      <c r="D74" t="s">
        <v>67</v>
      </c>
      <c r="E74">
        <v>2023</v>
      </c>
      <c r="F74" t="s">
        <v>14</v>
      </c>
      <c r="G74" s="4">
        <v>41147</v>
      </c>
      <c r="H74" s="3">
        <v>1665556.38784</v>
      </c>
      <c r="I74" s="3">
        <v>946683.84783999401</v>
      </c>
      <c r="J74" s="2">
        <v>5.5025681127123902E-2</v>
      </c>
      <c r="K74" s="1">
        <f>Table1[[#This Row],[Total Profit]]/Table1[[#This Row],[Total Sales USD]]</f>
        <v>0.56838895083445007</v>
      </c>
    </row>
    <row r="75" spans="1:11" x14ac:dyDescent="0.2">
      <c r="A75">
        <v>25</v>
      </c>
      <c r="B75" t="s">
        <v>66</v>
      </c>
      <c r="C75" t="s">
        <v>58</v>
      </c>
      <c r="D75" t="s">
        <v>67</v>
      </c>
      <c r="E75">
        <v>2024</v>
      </c>
      <c r="F75" t="s">
        <v>14</v>
      </c>
      <c r="G75" s="4">
        <v>66680</v>
      </c>
      <c r="H75" s="3">
        <v>2661231.365702</v>
      </c>
      <c r="I75" s="3">
        <v>1516367.115702</v>
      </c>
      <c r="J75" s="2">
        <v>5.5457671869770103E-2</v>
      </c>
      <c r="K75" s="1">
        <f>Table1[[#This Row],[Total Profit]]/Table1[[#This Row],[Total Sales USD]]</f>
        <v>0.56979905439450618</v>
      </c>
    </row>
    <row r="76" spans="1:11" x14ac:dyDescent="0.2">
      <c r="A76">
        <v>25</v>
      </c>
      <c r="B76" t="s">
        <v>66</v>
      </c>
      <c r="C76" t="s">
        <v>58</v>
      </c>
      <c r="D76" t="s">
        <v>67</v>
      </c>
      <c r="E76">
        <v>2025</v>
      </c>
      <c r="F76" t="s">
        <v>14</v>
      </c>
      <c r="G76" s="4">
        <v>7999</v>
      </c>
      <c r="H76" s="3">
        <v>289325.17344000097</v>
      </c>
      <c r="I76" s="3">
        <v>146411.56344</v>
      </c>
      <c r="J76" s="2">
        <v>5.62897992868907E-2</v>
      </c>
      <c r="K76" s="1">
        <f>Table1[[#This Row],[Total Profit]]/Table1[[#This Row],[Total Sales USD]]</f>
        <v>0.50604502089881997</v>
      </c>
    </row>
    <row r="77" spans="1:11" x14ac:dyDescent="0.2">
      <c r="A77">
        <v>26</v>
      </c>
      <c r="B77" t="s">
        <v>68</v>
      </c>
      <c r="C77" t="s">
        <v>69</v>
      </c>
      <c r="D77" t="s">
        <v>70</v>
      </c>
      <c r="E77">
        <v>2023</v>
      </c>
      <c r="F77" t="s">
        <v>19</v>
      </c>
      <c r="G77" s="4">
        <v>92746</v>
      </c>
      <c r="H77" s="3">
        <v>3751577.0330050201</v>
      </c>
      <c r="I77" s="3">
        <v>2134963.4530049898</v>
      </c>
      <c r="J77" s="2">
        <v>5.5280765084575099E-2</v>
      </c>
      <c r="K77" s="1">
        <f>Table1[[#This Row],[Total Profit]]/Table1[[#This Row],[Total Sales USD]]</f>
        <v>0.56908426355699271</v>
      </c>
    </row>
    <row r="78" spans="1:11" x14ac:dyDescent="0.2">
      <c r="A78">
        <v>26</v>
      </c>
      <c r="B78" t="s">
        <v>68</v>
      </c>
      <c r="C78" t="s">
        <v>69</v>
      </c>
      <c r="D78" t="s">
        <v>70</v>
      </c>
      <c r="E78">
        <v>2024</v>
      </c>
      <c r="F78" t="s">
        <v>19</v>
      </c>
      <c r="G78" s="4">
        <v>116166</v>
      </c>
      <c r="H78" s="3">
        <v>4649048.25414492</v>
      </c>
      <c r="I78" s="3">
        <v>2654265.9041450401</v>
      </c>
      <c r="J78" s="2">
        <v>5.7325763043401201E-2</v>
      </c>
      <c r="K78" s="1">
        <f>Table1[[#This Row],[Total Profit]]/Table1[[#This Row],[Total Sales USD]]</f>
        <v>0.57092672715939108</v>
      </c>
    </row>
    <row r="79" spans="1:11" x14ac:dyDescent="0.2">
      <c r="A79">
        <v>26</v>
      </c>
      <c r="B79" t="s">
        <v>68</v>
      </c>
      <c r="C79" t="s">
        <v>69</v>
      </c>
      <c r="D79" t="s">
        <v>70</v>
      </c>
      <c r="E79">
        <v>2025</v>
      </c>
      <c r="F79" t="s">
        <v>14</v>
      </c>
      <c r="G79" s="4">
        <v>10834</v>
      </c>
      <c r="H79" s="3">
        <v>396447.52967900003</v>
      </c>
      <c r="I79" s="3">
        <v>203017.52967900099</v>
      </c>
      <c r="J79" s="2">
        <v>5.2669377709939798E-2</v>
      </c>
      <c r="K79" s="1">
        <f>Table1[[#This Row],[Total Profit]]/Table1[[#This Row],[Total Sales USD]]</f>
        <v>0.5120918015137651</v>
      </c>
    </row>
    <row r="80" spans="1:11" x14ac:dyDescent="0.2">
      <c r="A80">
        <v>27</v>
      </c>
      <c r="B80" t="s">
        <v>71</v>
      </c>
      <c r="C80" t="s">
        <v>69</v>
      </c>
      <c r="D80" t="s">
        <v>72</v>
      </c>
      <c r="E80">
        <v>2023</v>
      </c>
      <c r="F80" t="s">
        <v>14</v>
      </c>
      <c r="G80" s="4">
        <v>39050</v>
      </c>
      <c r="H80" s="3">
        <v>1556908.478661</v>
      </c>
      <c r="I80" s="3">
        <v>879213.72866100003</v>
      </c>
      <c r="J80" s="2">
        <v>6.0301520842059197E-2</v>
      </c>
      <c r="K80" s="1">
        <f>Table1[[#This Row],[Total Profit]]/Table1[[#This Row],[Total Sales USD]]</f>
        <v>0.56471767012095464</v>
      </c>
    </row>
    <row r="81" spans="1:11" x14ac:dyDescent="0.2">
      <c r="A81">
        <v>27</v>
      </c>
      <c r="B81" t="s">
        <v>71</v>
      </c>
      <c r="C81" t="s">
        <v>69</v>
      </c>
      <c r="D81" t="s">
        <v>72</v>
      </c>
      <c r="E81">
        <v>2024</v>
      </c>
      <c r="F81" t="s">
        <v>14</v>
      </c>
      <c r="G81" s="4">
        <v>47431</v>
      </c>
      <c r="H81" s="3">
        <v>1858737.81515999</v>
      </c>
      <c r="I81" s="3">
        <v>1049716.58515999</v>
      </c>
      <c r="J81" s="2">
        <v>5.8863421478831397E-2</v>
      </c>
      <c r="K81" s="1">
        <f>Table1[[#This Row],[Total Profit]]/Table1[[#This Row],[Total Sales USD]]</f>
        <v>0.5647469893808752</v>
      </c>
    </row>
    <row r="82" spans="1:11" x14ac:dyDescent="0.2">
      <c r="A82">
        <v>27</v>
      </c>
      <c r="B82" t="s">
        <v>71</v>
      </c>
      <c r="C82" t="s">
        <v>69</v>
      </c>
      <c r="D82" t="s">
        <v>72</v>
      </c>
      <c r="E82">
        <v>2025</v>
      </c>
      <c r="F82" t="s">
        <v>14</v>
      </c>
      <c r="G82" s="4">
        <v>9954</v>
      </c>
      <c r="H82" s="3">
        <v>357013.92238300102</v>
      </c>
      <c r="I82" s="3">
        <v>183433.352382999</v>
      </c>
      <c r="J82" s="2">
        <v>5.7844498658985097E-2</v>
      </c>
      <c r="K82" s="1">
        <f>Table1[[#This Row],[Total Profit]]/Table1[[#This Row],[Total Sales USD]]</f>
        <v>0.51379887696988324</v>
      </c>
    </row>
    <row r="83" spans="1:11" x14ac:dyDescent="0.2">
      <c r="A83">
        <v>28</v>
      </c>
      <c r="B83" t="s">
        <v>73</v>
      </c>
      <c r="C83" t="s">
        <v>69</v>
      </c>
      <c r="D83" t="s">
        <v>74</v>
      </c>
      <c r="E83">
        <v>2023</v>
      </c>
      <c r="F83" t="s">
        <v>14</v>
      </c>
      <c r="G83" s="4">
        <v>36658</v>
      </c>
      <c r="H83" s="3">
        <v>1474848.1371520001</v>
      </c>
      <c r="I83" s="3">
        <v>838061.48715200101</v>
      </c>
      <c r="J83" s="2">
        <v>5.91511585387978E-2</v>
      </c>
      <c r="K83" s="1">
        <f>Table1[[#This Row],[Total Profit]]/Table1[[#This Row],[Total Sales USD]]</f>
        <v>0.56823578376709105</v>
      </c>
    </row>
    <row r="84" spans="1:11" x14ac:dyDescent="0.2">
      <c r="A84">
        <v>28</v>
      </c>
      <c r="B84" t="s">
        <v>73</v>
      </c>
      <c r="C84" t="s">
        <v>69</v>
      </c>
      <c r="D84" t="s">
        <v>74</v>
      </c>
      <c r="E84">
        <v>2024</v>
      </c>
      <c r="F84" t="s">
        <v>14</v>
      </c>
      <c r="G84" s="4">
        <v>31981</v>
      </c>
      <c r="H84" s="3">
        <v>1277673.2856749899</v>
      </c>
      <c r="I84" s="3">
        <v>730299.24567500199</v>
      </c>
      <c r="J84" s="2">
        <v>5.52883609208282E-2</v>
      </c>
      <c r="K84" s="1">
        <f>Table1[[#This Row],[Total Profit]]/Table1[[#This Row],[Total Sales USD]]</f>
        <v>0.571585282296317</v>
      </c>
    </row>
    <row r="85" spans="1:11" x14ac:dyDescent="0.2">
      <c r="A85">
        <v>28</v>
      </c>
      <c r="B85" t="s">
        <v>73</v>
      </c>
      <c r="C85" t="s">
        <v>69</v>
      </c>
      <c r="D85" t="s">
        <v>74</v>
      </c>
      <c r="E85">
        <v>2025</v>
      </c>
      <c r="F85" t="s">
        <v>14</v>
      </c>
      <c r="G85" s="4">
        <v>8955</v>
      </c>
      <c r="H85" s="3">
        <v>322584.305942001</v>
      </c>
      <c r="I85" s="3">
        <v>163980.815941999</v>
      </c>
      <c r="J85" s="2">
        <v>5.8142513740661497E-2</v>
      </c>
      <c r="K85" s="1">
        <f>Table1[[#This Row],[Total Profit]]/Table1[[#This Row],[Total Sales USD]]</f>
        <v>0.50833476062372951</v>
      </c>
    </row>
    <row r="86" spans="1:11" x14ac:dyDescent="0.2">
      <c r="A86">
        <v>29</v>
      </c>
      <c r="B86" t="s">
        <v>75</v>
      </c>
      <c r="C86" t="s">
        <v>69</v>
      </c>
      <c r="D86" t="s">
        <v>76</v>
      </c>
      <c r="E86">
        <v>2023</v>
      </c>
      <c r="F86" t="s">
        <v>14</v>
      </c>
      <c r="G86" s="4">
        <v>32349</v>
      </c>
      <c r="H86" s="3">
        <v>1297036.0814050001</v>
      </c>
      <c r="I86" s="3">
        <v>735750.241404998</v>
      </c>
      <c r="J86" s="2">
        <v>5.7680195735024899E-2</v>
      </c>
      <c r="K86" s="1">
        <f>Table1[[#This Row],[Total Profit]]/Table1[[#This Row],[Total Sales USD]]</f>
        <v>0.56725503010525713</v>
      </c>
    </row>
    <row r="87" spans="1:11" x14ac:dyDescent="0.2">
      <c r="A87">
        <v>29</v>
      </c>
      <c r="B87" t="s">
        <v>75</v>
      </c>
      <c r="C87" t="s">
        <v>69</v>
      </c>
      <c r="D87" t="s">
        <v>76</v>
      </c>
      <c r="E87">
        <v>2024</v>
      </c>
      <c r="F87" t="s">
        <v>14</v>
      </c>
      <c r="G87" s="4">
        <v>65729</v>
      </c>
      <c r="H87" s="3">
        <v>2651387.2611509799</v>
      </c>
      <c r="I87" s="3">
        <v>1528181.9811509899</v>
      </c>
      <c r="J87" s="2">
        <v>5.3969573798066002E-2</v>
      </c>
      <c r="K87" s="1">
        <f>Table1[[#This Row],[Total Profit]]/Table1[[#This Row],[Total Sales USD]]</f>
        <v>0.5763707186582766</v>
      </c>
    </row>
    <row r="88" spans="1:11" x14ac:dyDescent="0.2">
      <c r="A88">
        <v>29</v>
      </c>
      <c r="B88" t="s">
        <v>75</v>
      </c>
      <c r="C88" t="s">
        <v>69</v>
      </c>
      <c r="D88" t="s">
        <v>76</v>
      </c>
      <c r="E88">
        <v>2025</v>
      </c>
      <c r="F88" t="s">
        <v>14</v>
      </c>
      <c r="G88" s="4">
        <v>4504</v>
      </c>
      <c r="H88" s="3">
        <v>163748.28664099899</v>
      </c>
      <c r="I88" s="3">
        <v>85201.326641000094</v>
      </c>
      <c r="J88" s="2">
        <v>5.2454356712388198E-2</v>
      </c>
      <c r="K88" s="1">
        <f>Table1[[#This Row],[Total Profit]]/Table1[[#This Row],[Total Sales USD]]</f>
        <v>0.5203188893682601</v>
      </c>
    </row>
    <row r="89" spans="1:11" x14ac:dyDescent="0.2">
      <c r="A89">
        <v>30</v>
      </c>
      <c r="B89" t="s">
        <v>77</v>
      </c>
      <c r="C89" t="s">
        <v>69</v>
      </c>
      <c r="D89" t="s">
        <v>78</v>
      </c>
      <c r="E89">
        <v>2023</v>
      </c>
      <c r="F89" t="s">
        <v>14</v>
      </c>
      <c r="G89" s="4">
        <v>62102</v>
      </c>
      <c r="H89" s="3">
        <v>2490941.4257930098</v>
      </c>
      <c r="I89" s="3">
        <v>1410928.2357929901</v>
      </c>
      <c r="J89" s="2">
        <v>5.5118207307446897E-2</v>
      </c>
      <c r="K89" s="1">
        <f>Table1[[#This Row],[Total Profit]]/Table1[[#This Row],[Total Sales USD]]</f>
        <v>0.56642369073123044</v>
      </c>
    </row>
    <row r="90" spans="1:11" x14ac:dyDescent="0.2">
      <c r="A90">
        <v>30</v>
      </c>
      <c r="B90" t="s">
        <v>77</v>
      </c>
      <c r="C90" t="s">
        <v>69</v>
      </c>
      <c r="D90" t="s">
        <v>78</v>
      </c>
      <c r="E90">
        <v>2024</v>
      </c>
      <c r="F90" t="s">
        <v>14</v>
      </c>
      <c r="G90" s="4">
        <v>62307</v>
      </c>
      <c r="H90" s="3">
        <v>2488104.6477400302</v>
      </c>
      <c r="I90" s="3">
        <v>1426957.94773999</v>
      </c>
      <c r="J90" s="2">
        <v>5.62635992194171E-2</v>
      </c>
      <c r="K90" s="1">
        <f>Table1[[#This Row],[Total Profit]]/Table1[[#This Row],[Total Sales USD]]</f>
        <v>0.57351203014556074</v>
      </c>
    </row>
    <row r="91" spans="1:11" x14ac:dyDescent="0.2">
      <c r="A91">
        <v>30</v>
      </c>
      <c r="B91" t="s">
        <v>77</v>
      </c>
      <c r="C91" t="s">
        <v>69</v>
      </c>
      <c r="D91" t="s">
        <v>78</v>
      </c>
      <c r="E91">
        <v>2025</v>
      </c>
      <c r="F91" t="s">
        <v>14</v>
      </c>
      <c r="G91" s="4">
        <v>8004</v>
      </c>
      <c r="H91" s="3">
        <v>290581.703553</v>
      </c>
      <c r="I91" s="3">
        <v>150518.91355299999</v>
      </c>
      <c r="J91" s="2">
        <v>6.0401302232003497E-2</v>
      </c>
      <c r="K91" s="1">
        <f>Table1[[#This Row],[Total Profit]]/Table1[[#This Row],[Total Sales USD]]</f>
        <v>0.51799171011999534</v>
      </c>
    </row>
    <row r="92" spans="1:11" x14ac:dyDescent="0.2">
      <c r="A92">
        <v>31</v>
      </c>
      <c r="B92" t="s">
        <v>79</v>
      </c>
      <c r="C92" t="s">
        <v>80</v>
      </c>
      <c r="D92" t="s">
        <v>81</v>
      </c>
      <c r="E92">
        <v>2023</v>
      </c>
      <c r="F92" t="s">
        <v>19</v>
      </c>
      <c r="G92" s="4">
        <v>121981</v>
      </c>
      <c r="H92" s="3">
        <v>4882003.5135389902</v>
      </c>
      <c r="I92" s="3">
        <v>2755085.28353904</v>
      </c>
      <c r="J92" s="2">
        <v>5.73126536341175E-2</v>
      </c>
      <c r="K92" s="1">
        <f>Table1[[#This Row],[Total Profit]]/Table1[[#This Row],[Total Sales USD]]</f>
        <v>0.56433496532694305</v>
      </c>
    </row>
    <row r="93" spans="1:11" x14ac:dyDescent="0.2">
      <c r="A93">
        <v>31</v>
      </c>
      <c r="B93" t="s">
        <v>79</v>
      </c>
      <c r="C93" t="s">
        <v>80</v>
      </c>
      <c r="D93" t="s">
        <v>81</v>
      </c>
      <c r="E93">
        <v>2024</v>
      </c>
      <c r="F93" t="s">
        <v>14</v>
      </c>
      <c r="G93" s="4">
        <v>79169</v>
      </c>
      <c r="H93" s="3">
        <v>3182196.9854309801</v>
      </c>
      <c r="I93" s="3">
        <v>1825761.7354309801</v>
      </c>
      <c r="J93" s="2">
        <v>5.3808484400329003E-2</v>
      </c>
      <c r="K93" s="1">
        <f>Table1[[#This Row],[Total Profit]]/Table1[[#This Row],[Total Sales USD]]</f>
        <v>0.57374252561668759</v>
      </c>
    </row>
    <row r="94" spans="1:11" x14ac:dyDescent="0.2">
      <c r="A94">
        <v>31</v>
      </c>
      <c r="B94" t="s">
        <v>79</v>
      </c>
      <c r="C94" t="s">
        <v>80</v>
      </c>
      <c r="D94" t="s">
        <v>81</v>
      </c>
      <c r="E94">
        <v>2025</v>
      </c>
      <c r="F94" t="s">
        <v>14</v>
      </c>
      <c r="G94" s="4">
        <v>9082</v>
      </c>
      <c r="H94" s="3">
        <v>344074.97783000098</v>
      </c>
      <c r="I94" s="3">
        <v>186170.48783</v>
      </c>
      <c r="J94" s="2">
        <v>4.7489538697296003E-2</v>
      </c>
      <c r="K94" s="1">
        <f>Table1[[#This Row],[Total Profit]]/Table1[[#This Row],[Total Sales USD]]</f>
        <v>0.54107534643795652</v>
      </c>
    </row>
    <row r="95" spans="1:11" x14ac:dyDescent="0.2">
      <c r="A95">
        <v>32</v>
      </c>
      <c r="B95" t="s">
        <v>82</v>
      </c>
      <c r="C95" t="s">
        <v>80</v>
      </c>
      <c r="D95" t="s">
        <v>83</v>
      </c>
      <c r="E95">
        <v>2023</v>
      </c>
      <c r="F95" t="s">
        <v>14</v>
      </c>
      <c r="G95" s="4">
        <v>72985</v>
      </c>
      <c r="H95" s="3">
        <v>2931931.03201201</v>
      </c>
      <c r="I95" s="3">
        <v>1658529.1420120201</v>
      </c>
      <c r="J95" s="2">
        <v>6.14012999020183E-2</v>
      </c>
      <c r="K95" s="1">
        <f>Table1[[#This Row],[Total Profit]]/Table1[[#This Row],[Total Sales USD]]</f>
        <v>0.56567808857150026</v>
      </c>
    </row>
    <row r="96" spans="1:11" x14ac:dyDescent="0.2">
      <c r="A96">
        <v>32</v>
      </c>
      <c r="B96" t="s">
        <v>82</v>
      </c>
      <c r="C96" t="s">
        <v>80</v>
      </c>
      <c r="D96" t="s">
        <v>83</v>
      </c>
      <c r="E96">
        <v>2024</v>
      </c>
      <c r="F96" t="s">
        <v>14</v>
      </c>
      <c r="G96" s="4">
        <v>77393</v>
      </c>
      <c r="H96" s="3">
        <v>3081370.7237880002</v>
      </c>
      <c r="I96" s="3">
        <v>1749009.1137880001</v>
      </c>
      <c r="J96" s="2">
        <v>5.6566551256563603E-2</v>
      </c>
      <c r="K96" s="1">
        <f>Table1[[#This Row],[Total Profit]]/Table1[[#This Row],[Total Sales USD]]</f>
        <v>0.56760749373184893</v>
      </c>
    </row>
    <row r="97" spans="1:11" x14ac:dyDescent="0.2">
      <c r="A97">
        <v>32</v>
      </c>
      <c r="B97" t="s">
        <v>82</v>
      </c>
      <c r="C97" t="s">
        <v>80</v>
      </c>
      <c r="D97" t="s">
        <v>83</v>
      </c>
      <c r="E97">
        <v>2025</v>
      </c>
      <c r="F97" t="s">
        <v>14</v>
      </c>
      <c r="G97" s="4">
        <v>5254</v>
      </c>
      <c r="H97" s="3">
        <v>193855.576012</v>
      </c>
      <c r="I97" s="3">
        <v>102160.176012</v>
      </c>
      <c r="J97" s="2">
        <v>4.2729522799140301E-2</v>
      </c>
      <c r="K97" s="1">
        <f>Table1[[#This Row],[Total Profit]]/Table1[[#This Row],[Total Sales USD]]</f>
        <v>0.5269911658650257</v>
      </c>
    </row>
    <row r="98" spans="1:11" x14ac:dyDescent="0.2">
      <c r="A98">
        <v>33</v>
      </c>
      <c r="B98" t="s">
        <v>84</v>
      </c>
      <c r="C98" t="s">
        <v>80</v>
      </c>
      <c r="D98" t="s">
        <v>85</v>
      </c>
      <c r="E98">
        <v>2023</v>
      </c>
      <c r="F98" t="s">
        <v>14</v>
      </c>
      <c r="G98" s="4">
        <v>37320</v>
      </c>
      <c r="H98" s="3">
        <v>1495800.2601920001</v>
      </c>
      <c r="I98" s="3">
        <v>852779.84019200504</v>
      </c>
      <c r="J98" s="2">
        <v>5.5416651290893702E-2</v>
      </c>
      <c r="K98" s="1">
        <f>Table1[[#This Row],[Total Profit]]/Table1[[#This Row],[Total Sales USD]]</f>
        <v>0.57011611970340392</v>
      </c>
    </row>
    <row r="99" spans="1:11" x14ac:dyDescent="0.2">
      <c r="A99">
        <v>33</v>
      </c>
      <c r="B99" t="s">
        <v>84</v>
      </c>
      <c r="C99" t="s">
        <v>80</v>
      </c>
      <c r="D99" t="s">
        <v>85</v>
      </c>
      <c r="E99">
        <v>2024</v>
      </c>
      <c r="F99" t="s">
        <v>14</v>
      </c>
      <c r="G99" s="4">
        <v>29138</v>
      </c>
      <c r="H99" s="3">
        <v>1166610.2968929899</v>
      </c>
      <c r="I99" s="3">
        <v>664481.59689299599</v>
      </c>
      <c r="J99" s="2">
        <v>5.5939029001275703E-2</v>
      </c>
      <c r="K99" s="1">
        <f>Table1[[#This Row],[Total Profit]]/Table1[[#This Row],[Total Sales USD]]</f>
        <v>0.5695831750008522</v>
      </c>
    </row>
    <row r="100" spans="1:11" x14ac:dyDescent="0.2">
      <c r="A100">
        <v>33</v>
      </c>
      <c r="B100" t="s">
        <v>84</v>
      </c>
      <c r="C100" t="s">
        <v>80</v>
      </c>
      <c r="D100" t="s">
        <v>85</v>
      </c>
      <c r="E100">
        <v>2025</v>
      </c>
      <c r="F100" t="s">
        <v>14</v>
      </c>
      <c r="G100" s="4">
        <v>7586</v>
      </c>
      <c r="H100" s="3">
        <v>276061.778147</v>
      </c>
      <c r="I100" s="3">
        <v>142320.20814699901</v>
      </c>
      <c r="J100" s="2">
        <v>5.1030092115589898E-2</v>
      </c>
      <c r="K100" s="1">
        <f>Table1[[#This Row],[Total Profit]]/Table1[[#This Row],[Total Sales USD]]</f>
        <v>0.51553753330971808</v>
      </c>
    </row>
    <row r="101" spans="1:11" x14ac:dyDescent="0.2">
      <c r="A101">
        <v>34</v>
      </c>
      <c r="B101" t="s">
        <v>86</v>
      </c>
      <c r="C101" t="s">
        <v>80</v>
      </c>
      <c r="D101" t="s">
        <v>87</v>
      </c>
      <c r="E101">
        <v>2023</v>
      </c>
      <c r="F101" t="s">
        <v>14</v>
      </c>
      <c r="G101" s="4">
        <v>42218</v>
      </c>
      <c r="H101" s="3">
        <v>1686266.7589799899</v>
      </c>
      <c r="I101" s="3">
        <v>948518.18897999602</v>
      </c>
      <c r="J101" s="2">
        <v>5.7583631877817398E-2</v>
      </c>
      <c r="K101" s="1">
        <f>Table1[[#This Row],[Total Profit]]/Table1[[#This Row],[Total Sales USD]]</f>
        <v>0.56249593009456433</v>
      </c>
    </row>
    <row r="102" spans="1:11" x14ac:dyDescent="0.2">
      <c r="A102">
        <v>34</v>
      </c>
      <c r="B102" t="s">
        <v>86</v>
      </c>
      <c r="C102" t="s">
        <v>80</v>
      </c>
      <c r="D102" t="s">
        <v>87</v>
      </c>
      <c r="E102">
        <v>2024</v>
      </c>
      <c r="F102" t="s">
        <v>14</v>
      </c>
      <c r="G102" s="4">
        <v>40092</v>
      </c>
      <c r="H102" s="3">
        <v>1600174.1489249901</v>
      </c>
      <c r="I102" s="3">
        <v>912195.00892500102</v>
      </c>
      <c r="J102" s="2">
        <v>5.4719610483535297E-2</v>
      </c>
      <c r="K102" s="1">
        <f>Table1[[#This Row],[Total Profit]]/Table1[[#This Row],[Total Sales USD]]</f>
        <v>0.57005983351113443</v>
      </c>
    </row>
    <row r="103" spans="1:11" x14ac:dyDescent="0.2">
      <c r="A103">
        <v>34</v>
      </c>
      <c r="B103" t="s">
        <v>86</v>
      </c>
      <c r="C103" t="s">
        <v>80</v>
      </c>
      <c r="D103" t="s">
        <v>87</v>
      </c>
      <c r="E103">
        <v>2025</v>
      </c>
      <c r="F103" t="s">
        <v>14</v>
      </c>
      <c r="G103" s="4">
        <v>7602</v>
      </c>
      <c r="H103" s="3">
        <v>279414.10033099999</v>
      </c>
      <c r="I103" s="3">
        <v>145527.920331</v>
      </c>
      <c r="J103" s="2">
        <v>5.9035543932419998E-2</v>
      </c>
      <c r="K103" s="1">
        <f>Table1[[#This Row],[Total Profit]]/Table1[[#This Row],[Total Sales USD]]</f>
        <v>0.52083241382093626</v>
      </c>
    </row>
    <row r="104" spans="1:11" x14ac:dyDescent="0.2">
      <c r="A104">
        <v>35</v>
      </c>
      <c r="B104" t="s">
        <v>88</v>
      </c>
      <c r="C104" t="s">
        <v>80</v>
      </c>
      <c r="D104" t="s">
        <v>89</v>
      </c>
      <c r="E104">
        <v>2023</v>
      </c>
      <c r="F104" t="s">
        <v>14</v>
      </c>
      <c r="G104" s="4">
        <v>41388</v>
      </c>
      <c r="H104" s="3">
        <v>1690770.4656089901</v>
      </c>
      <c r="I104" s="3">
        <v>969818.08560899796</v>
      </c>
      <c r="J104" s="2">
        <v>5.1837542994222198E-2</v>
      </c>
      <c r="K104" s="1">
        <f>Table1[[#This Row],[Total Profit]]/Table1[[#This Row],[Total Sales USD]]</f>
        <v>0.57359535509728943</v>
      </c>
    </row>
    <row r="105" spans="1:11" x14ac:dyDescent="0.2">
      <c r="A105">
        <v>35</v>
      </c>
      <c r="B105" t="s">
        <v>88</v>
      </c>
      <c r="C105" t="s">
        <v>80</v>
      </c>
      <c r="D105" t="s">
        <v>89</v>
      </c>
      <c r="E105">
        <v>2024</v>
      </c>
      <c r="F105" t="s">
        <v>14</v>
      </c>
      <c r="G105" s="4">
        <v>57128</v>
      </c>
      <c r="H105" s="3">
        <v>2259739.0536369798</v>
      </c>
      <c r="I105" s="3">
        <v>1281540.9536369999</v>
      </c>
      <c r="J105" s="2">
        <v>5.8890637414263598E-2</v>
      </c>
      <c r="K105" s="1">
        <f>Table1[[#This Row],[Total Profit]]/Table1[[#This Row],[Total Sales USD]]</f>
        <v>0.56711900056530851</v>
      </c>
    </row>
    <row r="106" spans="1:11" x14ac:dyDescent="0.2">
      <c r="A106">
        <v>35</v>
      </c>
      <c r="B106" t="s">
        <v>88</v>
      </c>
      <c r="C106" t="s">
        <v>80</v>
      </c>
      <c r="D106" t="s">
        <v>89</v>
      </c>
      <c r="E106">
        <v>2025</v>
      </c>
      <c r="F106" t="s">
        <v>14</v>
      </c>
      <c r="G106" s="4">
        <v>8879</v>
      </c>
      <c r="H106" s="3">
        <v>333409.56221999897</v>
      </c>
      <c r="I106" s="3">
        <v>175132.41222</v>
      </c>
      <c r="J106" s="2">
        <v>5.0485636151987999E-2</v>
      </c>
      <c r="K106" s="1">
        <f>Table1[[#This Row],[Total Profit]]/Table1[[#This Row],[Total Sales USD]]</f>
        <v>0.52527711279150291</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675F6-7F53-4264-BB78-094FE5466360}">
  <dimension ref="A1:G27"/>
  <sheetViews>
    <sheetView workbookViewId="0">
      <selection activeCell="K51" sqref="K51"/>
    </sheetView>
  </sheetViews>
  <sheetFormatPr defaultRowHeight="14.25" x14ac:dyDescent="0.2"/>
  <cols>
    <col min="1" max="1" width="10.875" bestFit="1" customWidth="1"/>
    <col min="2" max="2" width="30.375" bestFit="1" customWidth="1"/>
    <col min="3" max="3" width="15.375" style="4" bestFit="1" customWidth="1"/>
    <col min="4" max="4" width="17.5" style="3" bestFit="1" customWidth="1"/>
    <col min="5" max="5" width="22.625" style="3" bestFit="1" customWidth="1"/>
    <col min="6" max="6" width="14.75" style="3" bestFit="1" customWidth="1"/>
    <col min="7" max="7" width="25.75" style="2" bestFit="1" customWidth="1"/>
  </cols>
  <sheetData>
    <row r="1" spans="1:7" x14ac:dyDescent="0.2">
      <c r="A1" t="s">
        <v>90</v>
      </c>
      <c r="B1" t="s">
        <v>91</v>
      </c>
      <c r="C1" s="4" t="s">
        <v>92</v>
      </c>
      <c r="D1" s="3" t="s">
        <v>7</v>
      </c>
      <c r="E1" s="3" t="s">
        <v>93</v>
      </c>
      <c r="F1" s="3" t="s">
        <v>8</v>
      </c>
      <c r="G1" s="2" t="s">
        <v>9</v>
      </c>
    </row>
    <row r="2" spans="1:7" x14ac:dyDescent="0.2">
      <c r="A2" t="s">
        <v>94</v>
      </c>
      <c r="B2" t="s">
        <v>95</v>
      </c>
      <c r="C2" s="4">
        <v>137501</v>
      </c>
      <c r="D2" s="3">
        <v>2025608.0890240059</v>
      </c>
      <c r="E2" s="3">
        <v>774824.96000001265</v>
      </c>
      <c r="F2" s="3">
        <v>1172986.749024001</v>
      </c>
      <c r="G2" s="2">
        <v>5.6264087825848658E-2</v>
      </c>
    </row>
    <row r="3" spans="1:7" x14ac:dyDescent="0.2">
      <c r="A3" t="s">
        <v>94</v>
      </c>
      <c r="B3" t="s">
        <v>96</v>
      </c>
      <c r="C3" s="4">
        <v>104939</v>
      </c>
      <c r="D3" s="3">
        <v>2711780.4519350245</v>
      </c>
      <c r="E3" s="3">
        <v>973294.78000000119</v>
      </c>
      <c r="F3" s="3">
        <v>1640276.8219350004</v>
      </c>
      <c r="G3" s="2">
        <v>5.6635020983662236E-2</v>
      </c>
    </row>
    <row r="4" spans="1:7" x14ac:dyDescent="0.2">
      <c r="A4" t="s">
        <v>94</v>
      </c>
      <c r="B4" t="s">
        <v>97</v>
      </c>
      <c r="C4" s="4">
        <v>153461</v>
      </c>
      <c r="D4" s="3">
        <v>6053364.0171629889</v>
      </c>
      <c r="E4" s="3">
        <v>2698107.7899999828</v>
      </c>
      <c r="F4" s="3">
        <v>3085689.2271630252</v>
      </c>
      <c r="G4" s="2">
        <v>5.5306849664443547E-2</v>
      </c>
    </row>
    <row r="5" spans="1:7" x14ac:dyDescent="0.2">
      <c r="A5" t="s">
        <v>94</v>
      </c>
      <c r="B5" t="s">
        <v>98</v>
      </c>
      <c r="C5" s="4">
        <v>214575</v>
      </c>
      <c r="D5" s="3">
        <v>7034310.149571972</v>
      </c>
      <c r="E5" s="3">
        <v>3175681.7099999567</v>
      </c>
      <c r="F5" s="3">
        <v>3545651.4995720284</v>
      </c>
      <c r="G5" s="2">
        <v>5.5471740371146737E-2</v>
      </c>
    </row>
    <row r="6" spans="1:7" x14ac:dyDescent="0.2">
      <c r="A6" t="s">
        <v>94</v>
      </c>
      <c r="B6" t="s">
        <v>99</v>
      </c>
      <c r="C6" s="4">
        <v>118594</v>
      </c>
      <c r="D6" s="3">
        <v>2966485.1582870004</v>
      </c>
      <c r="E6" s="3">
        <v>1120118.1700000134</v>
      </c>
      <c r="F6" s="3">
        <v>1736702.2782870056</v>
      </c>
      <c r="G6" s="2">
        <v>5.4268190333059567E-2</v>
      </c>
    </row>
    <row r="7" spans="1:7" x14ac:dyDescent="0.2">
      <c r="A7" t="s">
        <v>94</v>
      </c>
      <c r="B7" t="s">
        <v>100</v>
      </c>
      <c r="C7" s="4">
        <v>142001</v>
      </c>
      <c r="D7" s="3">
        <v>4418533.5851809876</v>
      </c>
      <c r="E7" s="3">
        <v>1839022.0900000299</v>
      </c>
      <c r="F7" s="3">
        <v>2399137.5251809568</v>
      </c>
      <c r="G7" s="2">
        <v>5.5557911575230719E-2</v>
      </c>
    </row>
    <row r="8" spans="1:7" x14ac:dyDescent="0.2">
      <c r="A8" t="s">
        <v>101</v>
      </c>
      <c r="B8" t="s">
        <v>95</v>
      </c>
      <c r="C8" s="4">
        <v>158436</v>
      </c>
      <c r="D8" s="3">
        <v>2340304.6459899964</v>
      </c>
      <c r="E8" s="3">
        <v>901852.56999998656</v>
      </c>
      <c r="F8" s="3">
        <v>1348048.5559900003</v>
      </c>
      <c r="G8" s="2">
        <v>5.5952008751411611E-2</v>
      </c>
    </row>
    <row r="9" spans="1:7" x14ac:dyDescent="0.2">
      <c r="A9" t="s">
        <v>101</v>
      </c>
      <c r="B9" t="s">
        <v>102</v>
      </c>
      <c r="C9" s="4">
        <v>333256</v>
      </c>
      <c r="D9" s="3">
        <v>19025492.378926244</v>
      </c>
      <c r="E9" s="3">
        <v>7567220.5100001115</v>
      </c>
      <c r="F9" s="3">
        <v>10707699.368926074</v>
      </c>
      <c r="G9" s="2">
        <v>5.5673150306639746E-2</v>
      </c>
    </row>
    <row r="10" spans="1:7" x14ac:dyDescent="0.2">
      <c r="A10" t="s">
        <v>101</v>
      </c>
      <c r="B10" t="s">
        <v>103</v>
      </c>
      <c r="C10" s="4">
        <v>381566</v>
      </c>
      <c r="D10" s="3">
        <v>17732630.484182768</v>
      </c>
      <c r="E10" s="3">
        <v>7394111.8599996632</v>
      </c>
      <c r="F10" s="3">
        <v>9595533.8841830716</v>
      </c>
      <c r="G10" s="2">
        <v>5.5915690968461017E-2</v>
      </c>
    </row>
    <row r="11" spans="1:7" x14ac:dyDescent="0.2">
      <c r="A11" t="s">
        <v>101</v>
      </c>
      <c r="B11" t="s">
        <v>104</v>
      </c>
      <c r="C11" s="4">
        <v>158901</v>
      </c>
      <c r="D11" s="3">
        <v>4084487.5440799817</v>
      </c>
      <c r="E11" s="3">
        <v>1548487.7099999576</v>
      </c>
      <c r="F11" s="3">
        <v>2376651.0440800209</v>
      </c>
      <c r="G11" s="2">
        <v>5.6249457296604487E-2</v>
      </c>
    </row>
    <row r="12" spans="1:7" x14ac:dyDescent="0.2">
      <c r="A12" t="s">
        <v>101</v>
      </c>
      <c r="B12" t="s">
        <v>105</v>
      </c>
      <c r="C12" s="4">
        <v>315046</v>
      </c>
      <c r="D12" s="3">
        <v>17358285.775414903</v>
      </c>
      <c r="E12" s="3">
        <v>6523951.7400002582</v>
      </c>
      <c r="F12" s="3">
        <v>10181725.835414739</v>
      </c>
      <c r="G12" s="2">
        <v>5.6218865629764067E-2</v>
      </c>
    </row>
    <row r="13" spans="1:7" x14ac:dyDescent="0.2">
      <c r="A13" t="s">
        <v>101</v>
      </c>
      <c r="B13" t="s">
        <v>106</v>
      </c>
      <c r="C13" s="4">
        <v>368747</v>
      </c>
      <c r="D13" s="3">
        <v>11588395.874077946</v>
      </c>
      <c r="E13" s="3">
        <v>4585474.5599999232</v>
      </c>
      <c r="F13" s="3">
        <v>6542637.1540779807</v>
      </c>
      <c r="G13" s="2">
        <v>5.6042890005307107E-2</v>
      </c>
    </row>
    <row r="14" spans="1:7" x14ac:dyDescent="0.2">
      <c r="A14" t="s">
        <v>101</v>
      </c>
      <c r="B14" t="s">
        <v>107</v>
      </c>
      <c r="C14" s="4">
        <v>350041</v>
      </c>
      <c r="D14" s="3">
        <v>8443040.9599367604</v>
      </c>
      <c r="E14" s="3">
        <v>3435960.5900000324</v>
      </c>
      <c r="F14" s="3">
        <v>4659930.3999369498</v>
      </c>
      <c r="G14" s="2">
        <v>5.6187615927975339E-2</v>
      </c>
    </row>
    <row r="15" spans="1:7" x14ac:dyDescent="0.2">
      <c r="A15" t="s">
        <v>101</v>
      </c>
      <c r="B15" t="s">
        <v>108</v>
      </c>
      <c r="C15" s="4">
        <v>333396</v>
      </c>
      <c r="D15" s="3">
        <v>12496633.959404765</v>
      </c>
      <c r="E15" s="3">
        <v>4647564.1500001522</v>
      </c>
      <c r="F15" s="3">
        <v>7385699.1994049633</v>
      </c>
      <c r="G15" s="2">
        <v>5.6199422487229589E-2</v>
      </c>
    </row>
    <row r="16" spans="1:7" x14ac:dyDescent="0.2">
      <c r="A16" t="s">
        <v>101</v>
      </c>
      <c r="B16" t="s">
        <v>109</v>
      </c>
      <c r="C16" s="4">
        <v>316517</v>
      </c>
      <c r="D16" s="3">
        <v>26836853.503874969</v>
      </c>
      <c r="E16" s="3">
        <v>10457506.87000056</v>
      </c>
      <c r="F16" s="3">
        <v>15321278.633874506</v>
      </c>
      <c r="G16" s="2">
        <v>5.5693458122226605E-2</v>
      </c>
    </row>
    <row r="17" spans="1:7" x14ac:dyDescent="0.2">
      <c r="A17" t="s">
        <v>101</v>
      </c>
      <c r="B17" t="s">
        <v>110</v>
      </c>
      <c r="C17" s="4">
        <v>351685</v>
      </c>
      <c r="D17" s="3">
        <v>13087385.778081203</v>
      </c>
      <c r="E17" s="3">
        <v>5208382.6999999825</v>
      </c>
      <c r="F17" s="3">
        <v>7356420.588081033</v>
      </c>
      <c r="G17" s="2">
        <v>5.6604831624401719E-2</v>
      </c>
    </row>
    <row r="18" spans="1:7" x14ac:dyDescent="0.2">
      <c r="A18" t="s">
        <v>101</v>
      </c>
      <c r="B18" t="s">
        <v>111</v>
      </c>
      <c r="C18" s="4">
        <v>328420</v>
      </c>
      <c r="D18" s="3">
        <v>7561472.0610689009</v>
      </c>
      <c r="E18" s="3">
        <v>2856465.9399999548</v>
      </c>
      <c r="F18" s="3">
        <v>4421693.2410690077</v>
      </c>
      <c r="G18" s="2">
        <v>5.6018242862506187E-2</v>
      </c>
    </row>
    <row r="19" spans="1:7" x14ac:dyDescent="0.2">
      <c r="A19" t="s">
        <v>112</v>
      </c>
      <c r="B19" t="s">
        <v>95</v>
      </c>
      <c r="C19" s="4">
        <v>158750</v>
      </c>
      <c r="D19" s="3">
        <v>2269285.2058899868</v>
      </c>
      <c r="E19" s="3">
        <v>885896.21000000823</v>
      </c>
      <c r="F19" s="3">
        <v>1294722.1058900079</v>
      </c>
      <c r="G19" s="2">
        <v>5.6610675333197788E-2</v>
      </c>
    </row>
    <row r="20" spans="1:7" x14ac:dyDescent="0.2">
      <c r="A20" t="s">
        <v>112</v>
      </c>
      <c r="B20" t="s">
        <v>102</v>
      </c>
      <c r="C20" s="4">
        <v>336147</v>
      </c>
      <c r="D20" s="3">
        <v>19531224.288401894</v>
      </c>
      <c r="E20" s="3">
        <v>7482578.3499997109</v>
      </c>
      <c r="F20" s="3">
        <v>11300497.678401938</v>
      </c>
      <c r="G20" s="2">
        <v>5.575854723051963E-2</v>
      </c>
    </row>
    <row r="21" spans="1:7" x14ac:dyDescent="0.2">
      <c r="A21" t="s">
        <v>112</v>
      </c>
      <c r="B21" t="s">
        <v>105</v>
      </c>
      <c r="C21" s="4">
        <v>371768</v>
      </c>
      <c r="D21" s="3">
        <v>18635628.332393218</v>
      </c>
      <c r="E21" s="3">
        <v>7453826.4300001059</v>
      </c>
      <c r="F21" s="3">
        <v>10416153.022393076</v>
      </c>
      <c r="G21" s="2">
        <v>5.6032419164801686E-2</v>
      </c>
    </row>
    <row r="22" spans="1:7" x14ac:dyDescent="0.2">
      <c r="A22" t="s">
        <v>112</v>
      </c>
      <c r="B22" t="s">
        <v>113</v>
      </c>
      <c r="C22" s="4">
        <v>382069</v>
      </c>
      <c r="D22" s="3">
        <v>8852666.7976527847</v>
      </c>
      <c r="E22" s="3">
        <v>3555056.9599998174</v>
      </c>
      <c r="F22" s="3">
        <v>4943318.1776530175</v>
      </c>
      <c r="G22" s="2">
        <v>5.5982295095727871E-2</v>
      </c>
    </row>
    <row r="23" spans="1:7" x14ac:dyDescent="0.2">
      <c r="A23" t="s">
        <v>112</v>
      </c>
      <c r="B23" t="s">
        <v>108</v>
      </c>
      <c r="C23" s="4">
        <v>338381</v>
      </c>
      <c r="D23" s="3">
        <v>13038367.124409974</v>
      </c>
      <c r="E23" s="3">
        <v>4929074.0599996848</v>
      </c>
      <c r="F23" s="3">
        <v>7615062.2544099959</v>
      </c>
      <c r="G23" s="2">
        <v>5.7024904269146547E-2</v>
      </c>
    </row>
    <row r="24" spans="1:7" x14ac:dyDescent="0.2">
      <c r="A24" t="s">
        <v>112</v>
      </c>
      <c r="B24" t="s">
        <v>114</v>
      </c>
      <c r="C24" s="4">
        <v>319742</v>
      </c>
      <c r="D24" s="3">
        <v>27117035.863165215</v>
      </c>
      <c r="E24" s="3">
        <v>10366983.169999504</v>
      </c>
      <c r="F24" s="3">
        <v>15714423.263165101</v>
      </c>
      <c r="G24" s="2">
        <v>5.6336357647806111E-2</v>
      </c>
    </row>
    <row r="25" spans="1:7" x14ac:dyDescent="0.2">
      <c r="A25" t="s">
        <v>112</v>
      </c>
      <c r="B25" t="s">
        <v>115</v>
      </c>
      <c r="C25" s="4">
        <v>356515</v>
      </c>
      <c r="D25" s="3">
        <v>13070132.055515962</v>
      </c>
      <c r="E25" s="3">
        <v>5107007.2900001062</v>
      </c>
      <c r="F25" s="3">
        <v>7450418.5955158519</v>
      </c>
      <c r="G25" s="2">
        <v>5.5952400736991391E-2</v>
      </c>
    </row>
    <row r="26" spans="1:7" x14ac:dyDescent="0.2">
      <c r="A26" t="s">
        <v>112</v>
      </c>
      <c r="B26" t="s">
        <v>116</v>
      </c>
      <c r="C26" s="4">
        <v>371025</v>
      </c>
      <c r="D26" s="3">
        <v>11080473.126290066</v>
      </c>
      <c r="E26" s="3">
        <v>4200986.4699997772</v>
      </c>
      <c r="F26" s="3">
        <v>6454430.8862901907</v>
      </c>
      <c r="G26" s="2">
        <v>5.5434449838049744E-2</v>
      </c>
    </row>
    <row r="27" spans="1:7" x14ac:dyDescent="0.2">
      <c r="A27" t="s">
        <v>112</v>
      </c>
      <c r="B27" t="s">
        <v>117</v>
      </c>
      <c r="C27" s="4">
        <v>158592</v>
      </c>
      <c r="D27" s="3">
        <v>4102927.3197599766</v>
      </c>
      <c r="E27" s="3">
        <v>1527699.5800000275</v>
      </c>
      <c r="F27" s="3">
        <v>2423194.9697599984</v>
      </c>
      <c r="G27" s="2">
        <v>5.695753183067432E-2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F10A8-216B-48C1-BBDE-2BA2BB6BFDCB}">
  <dimension ref="A1:F27"/>
  <sheetViews>
    <sheetView workbookViewId="0">
      <selection activeCell="C4" sqref="C4"/>
    </sheetView>
  </sheetViews>
  <sheetFormatPr defaultRowHeight="14.25" x14ac:dyDescent="0.2"/>
  <cols>
    <col min="1" max="1" width="10.875" bestFit="1" customWidth="1"/>
    <col min="2" max="2" width="30.375" bestFit="1" customWidth="1"/>
    <col min="3" max="3" width="23.875" style="3" bestFit="1" customWidth="1"/>
    <col min="4" max="4" width="17.375" style="3" bestFit="1" customWidth="1"/>
    <col min="5" max="5" width="23.25" style="3" bestFit="1" customWidth="1"/>
    <col min="6" max="6" width="16.75" style="1" bestFit="1" customWidth="1"/>
  </cols>
  <sheetData>
    <row r="1" spans="1:6" x14ac:dyDescent="0.2">
      <c r="A1" t="s">
        <v>90</v>
      </c>
      <c r="B1" t="s">
        <v>91</v>
      </c>
      <c r="C1" s="3" t="s">
        <v>118</v>
      </c>
      <c r="D1" s="3" t="s">
        <v>7</v>
      </c>
      <c r="E1" s="3" t="s">
        <v>119</v>
      </c>
      <c r="F1" s="1" t="s">
        <v>120</v>
      </c>
    </row>
    <row r="2" spans="1:6" x14ac:dyDescent="0.2">
      <c r="A2" t="s">
        <v>94</v>
      </c>
      <c r="B2" t="s">
        <v>95</v>
      </c>
      <c r="C2" s="3">
        <v>2615062.8739200062</v>
      </c>
      <c r="D2" s="3">
        <v>2025608.0890240062</v>
      </c>
      <c r="E2" s="3">
        <v>589454.78489600262</v>
      </c>
      <c r="F2" s="1">
        <v>0.31220514097219254</v>
      </c>
    </row>
    <row r="3" spans="1:6" x14ac:dyDescent="0.2">
      <c r="A3" t="s">
        <v>94</v>
      </c>
      <c r="B3" t="s">
        <v>96</v>
      </c>
      <c r="C3" s="3">
        <v>3342426.3029450225</v>
      </c>
      <c r="D3" s="3">
        <v>2711780.451935024</v>
      </c>
      <c r="E3" s="3">
        <v>630645.85100999929</v>
      </c>
      <c r="F3" s="1">
        <v>0.503784796228121</v>
      </c>
    </row>
    <row r="4" spans="1:6" x14ac:dyDescent="0.2">
      <c r="A4" t="s">
        <v>94</v>
      </c>
      <c r="B4" t="s">
        <v>97</v>
      </c>
      <c r="C4" s="3">
        <v>8607723.6513000298</v>
      </c>
      <c r="D4" s="3">
        <v>6053364.0171629889</v>
      </c>
      <c r="E4" s="3">
        <v>2554359.6341370009</v>
      </c>
      <c r="F4" s="1">
        <v>0.44940392045986249</v>
      </c>
    </row>
    <row r="5" spans="1:6" x14ac:dyDescent="0.2">
      <c r="A5" t="s">
        <v>94</v>
      </c>
      <c r="B5" t="s">
        <v>98</v>
      </c>
      <c r="C5" s="3">
        <v>10574856.666144911</v>
      </c>
      <c r="D5" s="3">
        <v>7034310.149571972</v>
      </c>
      <c r="E5" s="3">
        <v>3540546.5165729402</v>
      </c>
      <c r="F5" s="1">
        <v>0.38407397562943552</v>
      </c>
    </row>
    <row r="6" spans="1:6" x14ac:dyDescent="0.2">
      <c r="A6" t="s">
        <v>94</v>
      </c>
      <c r="B6" t="s">
        <v>99</v>
      </c>
      <c r="C6" s="3">
        <v>3736469.6827350012</v>
      </c>
      <c r="D6" s="3">
        <v>2966485.1582870008</v>
      </c>
      <c r="E6" s="3">
        <v>769984.52444800269</v>
      </c>
      <c r="F6" s="1">
        <v>0.38421222960313434</v>
      </c>
    </row>
    <row r="7" spans="1:6" x14ac:dyDescent="0.2">
      <c r="A7" t="s">
        <v>94</v>
      </c>
      <c r="B7" t="s">
        <v>100</v>
      </c>
      <c r="C7" s="3">
        <v>5774401.2171350075</v>
      </c>
      <c r="D7" s="3">
        <v>4418533.5851809876</v>
      </c>
      <c r="E7" s="3">
        <v>1355867.6319540036</v>
      </c>
      <c r="F7" s="1">
        <v>0.35712133503304705</v>
      </c>
    </row>
    <row r="8" spans="1:6" x14ac:dyDescent="0.2">
      <c r="A8" t="s">
        <v>101</v>
      </c>
      <c r="B8" t="s">
        <v>95</v>
      </c>
      <c r="C8" s="3">
        <v>2878935.1785699832</v>
      </c>
      <c r="D8" s="3">
        <v>2340304.6459899964</v>
      </c>
      <c r="E8" s="3">
        <v>538630.53258000093</v>
      </c>
      <c r="F8" s="1">
        <v>0.50355879561728956</v>
      </c>
    </row>
    <row r="9" spans="1:6" x14ac:dyDescent="0.2">
      <c r="A9" t="s">
        <v>101</v>
      </c>
      <c r="B9" t="s">
        <v>102</v>
      </c>
      <c r="C9" s="3">
        <v>23940467.483070381</v>
      </c>
      <c r="D9" s="3">
        <v>19025492.37892624</v>
      </c>
      <c r="E9" s="3">
        <v>4914975.1041440023</v>
      </c>
      <c r="F9" s="1">
        <v>0.47063749836145696</v>
      </c>
    </row>
    <row r="10" spans="1:6" x14ac:dyDescent="0.2">
      <c r="A10" t="s">
        <v>101</v>
      </c>
      <c r="B10" t="s">
        <v>103</v>
      </c>
      <c r="C10" s="3">
        <v>24075010.701579548</v>
      </c>
      <c r="D10" s="3">
        <v>17732630.484182771</v>
      </c>
      <c r="E10" s="3">
        <v>6342380.2173970649</v>
      </c>
      <c r="F10" s="1">
        <v>0.41047974963185296</v>
      </c>
    </row>
    <row r="11" spans="1:6" x14ac:dyDescent="0.2">
      <c r="A11" t="s">
        <v>101</v>
      </c>
      <c r="B11" t="s">
        <v>104</v>
      </c>
      <c r="C11" s="3">
        <v>5024963.6686699511</v>
      </c>
      <c r="D11" s="3">
        <v>4084487.5440799813</v>
      </c>
      <c r="E11" s="3">
        <v>940476.12459000503</v>
      </c>
      <c r="F11" s="1">
        <v>0.5037258844163075</v>
      </c>
    </row>
    <row r="12" spans="1:6" x14ac:dyDescent="0.2">
      <c r="A12" t="s">
        <v>101</v>
      </c>
      <c r="B12" t="s">
        <v>105</v>
      </c>
      <c r="C12" s="3">
        <v>21341787.206244882</v>
      </c>
      <c r="D12" s="3">
        <v>17358285.775414903</v>
      </c>
      <c r="E12" s="3">
        <v>3983501.430829999</v>
      </c>
      <c r="F12" s="1">
        <v>0.50364910325912038</v>
      </c>
    </row>
    <row r="13" spans="1:6" x14ac:dyDescent="0.2">
      <c r="A13" t="s">
        <v>101</v>
      </c>
      <c r="B13" t="s">
        <v>106</v>
      </c>
      <c r="C13" s="3">
        <v>15589829.324169848</v>
      </c>
      <c r="D13" s="3">
        <v>11588395.874077946</v>
      </c>
      <c r="E13" s="3">
        <v>4001433.4500919878</v>
      </c>
      <c r="F13" s="1">
        <v>0.43709359774631601</v>
      </c>
    </row>
    <row r="14" spans="1:6" x14ac:dyDescent="0.2">
      <c r="A14" t="s">
        <v>101</v>
      </c>
      <c r="B14" t="s">
        <v>107</v>
      </c>
      <c r="C14" s="3">
        <v>11051930.940169945</v>
      </c>
      <c r="D14" s="3">
        <v>8443040.9599367622</v>
      </c>
      <c r="E14" s="3">
        <v>2608889.980233029</v>
      </c>
      <c r="F14" s="1">
        <v>0.43622646039497048</v>
      </c>
    </row>
    <row r="15" spans="1:6" x14ac:dyDescent="0.2">
      <c r="A15" t="s">
        <v>101</v>
      </c>
      <c r="B15" t="s">
        <v>108</v>
      </c>
      <c r="C15" s="3">
        <v>15588110.356295094</v>
      </c>
      <c r="D15" s="3">
        <v>12496633.959404765</v>
      </c>
      <c r="E15" s="3">
        <v>3091476.3968900014</v>
      </c>
      <c r="F15" s="1">
        <v>0.40117981581292589</v>
      </c>
    </row>
    <row r="16" spans="1:6" x14ac:dyDescent="0.2">
      <c r="A16" t="s">
        <v>101</v>
      </c>
      <c r="B16" t="s">
        <v>109</v>
      </c>
      <c r="C16" s="3">
        <v>33039438.738121014</v>
      </c>
      <c r="D16" s="3">
        <v>26836853.503874965</v>
      </c>
      <c r="E16" s="3">
        <v>6202585.2342449548</v>
      </c>
      <c r="F16" s="1">
        <v>0.50361407181151874</v>
      </c>
    </row>
    <row r="17" spans="1:6" x14ac:dyDescent="0.2">
      <c r="A17" t="s">
        <v>101</v>
      </c>
      <c r="B17" t="s">
        <v>110</v>
      </c>
      <c r="C17" s="3">
        <v>16655000.962535445</v>
      </c>
      <c r="D17" s="3">
        <v>13087385.778081201</v>
      </c>
      <c r="E17" s="3">
        <v>3567615.1844539857</v>
      </c>
      <c r="F17" s="1">
        <v>0.40015410341318858</v>
      </c>
    </row>
    <row r="18" spans="1:6" x14ac:dyDescent="0.2">
      <c r="A18" t="s">
        <v>101</v>
      </c>
      <c r="B18" t="s">
        <v>111</v>
      </c>
      <c r="C18" s="3">
        <v>9447406.8187698033</v>
      </c>
      <c r="D18" s="3">
        <v>7561472.0610688999</v>
      </c>
      <c r="E18" s="3">
        <v>1885934.757701013</v>
      </c>
      <c r="F18" s="1">
        <v>0.43037038729230226</v>
      </c>
    </row>
    <row r="19" spans="1:6" x14ac:dyDescent="0.2">
      <c r="A19" t="s">
        <v>112</v>
      </c>
      <c r="B19" t="s">
        <v>95</v>
      </c>
      <c r="C19" s="3">
        <v>2789539.1010249807</v>
      </c>
      <c r="D19" s="3">
        <v>2269285.2058899868</v>
      </c>
      <c r="E19" s="3">
        <v>520253.89513500326</v>
      </c>
      <c r="F19" s="1">
        <v>0.50377676104972413</v>
      </c>
    </row>
    <row r="20" spans="1:6" x14ac:dyDescent="0.2">
      <c r="A20" t="s">
        <v>112</v>
      </c>
      <c r="B20" t="s">
        <v>102</v>
      </c>
      <c r="C20" s="3">
        <v>24584705.276374701</v>
      </c>
      <c r="D20" s="3">
        <v>19531224.288401894</v>
      </c>
      <c r="E20" s="3">
        <v>5053480.987972999</v>
      </c>
      <c r="F20" s="1">
        <v>0.47060270065768239</v>
      </c>
    </row>
    <row r="21" spans="1:6" x14ac:dyDescent="0.2">
      <c r="A21" t="s">
        <v>112</v>
      </c>
      <c r="B21" t="s">
        <v>105</v>
      </c>
      <c r="C21" s="3">
        <v>24714301.641725678</v>
      </c>
      <c r="D21" s="3">
        <v>18635628.332393218</v>
      </c>
      <c r="E21" s="3">
        <v>6078673.3093319684</v>
      </c>
      <c r="F21" s="1">
        <v>0.42829226924564667</v>
      </c>
    </row>
    <row r="22" spans="1:6" x14ac:dyDescent="0.2">
      <c r="A22" t="s">
        <v>112</v>
      </c>
      <c r="B22" t="s">
        <v>113</v>
      </c>
      <c r="C22" s="3">
        <v>12002715.410899922</v>
      </c>
      <c r="D22" s="3">
        <v>8852666.7976527847</v>
      </c>
      <c r="E22" s="3">
        <v>3150048.6132470304</v>
      </c>
      <c r="F22" s="1">
        <v>0.4380909573330542</v>
      </c>
    </row>
    <row r="23" spans="1:6" x14ac:dyDescent="0.2">
      <c r="A23" t="s">
        <v>112</v>
      </c>
      <c r="B23" t="s">
        <v>108</v>
      </c>
      <c r="C23" s="3">
        <v>16273518.618405199</v>
      </c>
      <c r="D23" s="3">
        <v>13038367.124409974</v>
      </c>
      <c r="E23" s="3">
        <v>3235151.4939949866</v>
      </c>
      <c r="F23" s="1">
        <v>0.40154179408766272</v>
      </c>
    </row>
    <row r="24" spans="1:6" x14ac:dyDescent="0.2">
      <c r="A24" t="s">
        <v>112</v>
      </c>
      <c r="B24" t="s">
        <v>114</v>
      </c>
      <c r="C24" s="3">
        <v>33388890.21471002</v>
      </c>
      <c r="D24" s="3">
        <v>27117035.863165215</v>
      </c>
      <c r="E24" s="3">
        <v>6271854.351545007</v>
      </c>
      <c r="F24" s="1">
        <v>0.50361186786991052</v>
      </c>
    </row>
    <row r="25" spans="1:6" x14ac:dyDescent="0.2">
      <c r="A25" t="s">
        <v>112</v>
      </c>
      <c r="B25" t="s">
        <v>115</v>
      </c>
      <c r="C25" s="3">
        <v>16616662.551769977</v>
      </c>
      <c r="D25" s="3">
        <v>13070132.055515962</v>
      </c>
      <c r="E25" s="3">
        <v>3546530.4962539794</v>
      </c>
      <c r="F25" s="1">
        <v>0.40056002574826577</v>
      </c>
    </row>
    <row r="26" spans="1:6" x14ac:dyDescent="0.2">
      <c r="A26" t="s">
        <v>112</v>
      </c>
      <c r="B26" t="s">
        <v>116</v>
      </c>
      <c r="C26" s="3">
        <v>14461702.435225088</v>
      </c>
      <c r="D26" s="3">
        <v>11080473.126290068</v>
      </c>
      <c r="E26" s="3">
        <v>3381229.3089349936</v>
      </c>
      <c r="F26" s="1">
        <v>0.39269191968792971</v>
      </c>
    </row>
    <row r="27" spans="1:6" x14ac:dyDescent="0.2">
      <c r="A27" t="s">
        <v>112</v>
      </c>
      <c r="B27" t="s">
        <v>117</v>
      </c>
      <c r="C27" s="3">
        <v>5052760.6449149745</v>
      </c>
      <c r="D27" s="3">
        <v>4102927.3197599761</v>
      </c>
      <c r="E27" s="3">
        <v>949833.3251550101</v>
      </c>
      <c r="F27" s="1">
        <v>0.5039343980026697</v>
      </c>
    </row>
  </sheetData>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8A695-FF7D-4C79-9E18-7D3B6273863A}">
  <dimension ref="A1:E809"/>
  <sheetViews>
    <sheetView workbookViewId="0">
      <selection activeCell="D13" sqref="D13"/>
    </sheetView>
  </sheetViews>
  <sheetFormatPr defaultRowHeight="14.25" x14ac:dyDescent="0.2"/>
  <cols>
    <col min="1" max="1" width="7" bestFit="1" customWidth="1"/>
    <col min="2" max="2" width="9.75" bestFit="1" customWidth="1"/>
    <col min="3" max="3" width="9.875" bestFit="1" customWidth="1"/>
    <col min="4" max="4" width="6.125" bestFit="1" customWidth="1"/>
    <col min="5" max="5" width="17.375" style="3" bestFit="1" customWidth="1"/>
  </cols>
  <sheetData>
    <row r="1" spans="1:5" x14ac:dyDescent="0.2">
      <c r="A1" t="s">
        <v>4</v>
      </c>
      <c r="B1" t="s">
        <v>132</v>
      </c>
      <c r="C1" t="s">
        <v>133</v>
      </c>
      <c r="D1" t="s">
        <v>134</v>
      </c>
      <c r="E1" s="3" t="s">
        <v>7</v>
      </c>
    </row>
    <row r="2" spans="1:5" x14ac:dyDescent="0.2">
      <c r="A2">
        <v>2023</v>
      </c>
      <c r="B2" t="s">
        <v>135</v>
      </c>
      <c r="C2" t="s">
        <v>136</v>
      </c>
      <c r="D2">
        <v>1</v>
      </c>
      <c r="E2" s="3">
        <v>738638.48600100027</v>
      </c>
    </row>
    <row r="3" spans="1:5" x14ac:dyDescent="0.2">
      <c r="A3">
        <v>2023</v>
      </c>
      <c r="B3" t="s">
        <v>135</v>
      </c>
      <c r="C3" t="s">
        <v>136</v>
      </c>
      <c r="D3">
        <v>2</v>
      </c>
      <c r="E3" s="3">
        <v>172627.85258000004</v>
      </c>
    </row>
    <row r="4" spans="1:5" x14ac:dyDescent="0.2">
      <c r="A4">
        <v>2023</v>
      </c>
      <c r="B4" t="s">
        <v>135</v>
      </c>
      <c r="C4" t="s">
        <v>136</v>
      </c>
      <c r="D4">
        <v>3</v>
      </c>
      <c r="E4" s="3">
        <v>154068.15839999996</v>
      </c>
    </row>
    <row r="5" spans="1:5" x14ac:dyDescent="0.2">
      <c r="A5">
        <v>2023</v>
      </c>
      <c r="B5" t="s">
        <v>135</v>
      </c>
      <c r="C5" t="s">
        <v>136</v>
      </c>
      <c r="D5">
        <v>4</v>
      </c>
      <c r="E5" s="3">
        <v>159580.10322399996</v>
      </c>
    </row>
    <row r="6" spans="1:5" x14ac:dyDescent="0.2">
      <c r="A6">
        <v>2023</v>
      </c>
      <c r="B6" t="s">
        <v>135</v>
      </c>
      <c r="C6" t="s">
        <v>136</v>
      </c>
      <c r="D6">
        <v>5</v>
      </c>
      <c r="E6" s="3">
        <v>153129.31744499991</v>
      </c>
    </row>
    <row r="7" spans="1:5" x14ac:dyDescent="0.2">
      <c r="A7">
        <v>2023</v>
      </c>
      <c r="B7" t="s">
        <v>135</v>
      </c>
      <c r="C7" t="s">
        <v>136</v>
      </c>
      <c r="D7">
        <v>6</v>
      </c>
      <c r="E7" s="3">
        <v>147987.59069099996</v>
      </c>
    </row>
    <row r="8" spans="1:5" x14ac:dyDescent="0.2">
      <c r="A8">
        <v>2023</v>
      </c>
      <c r="B8" t="s">
        <v>135</v>
      </c>
      <c r="C8" t="s">
        <v>136</v>
      </c>
      <c r="D8">
        <v>7</v>
      </c>
      <c r="E8" s="3">
        <v>303388.62056500016</v>
      </c>
    </row>
    <row r="9" spans="1:5" x14ac:dyDescent="0.2">
      <c r="A9">
        <v>2023</v>
      </c>
      <c r="B9" t="s">
        <v>135</v>
      </c>
      <c r="C9" t="s">
        <v>136</v>
      </c>
      <c r="D9">
        <v>8</v>
      </c>
      <c r="E9" s="3">
        <v>301967.74030600017</v>
      </c>
    </row>
    <row r="10" spans="1:5" x14ac:dyDescent="0.2">
      <c r="A10">
        <v>2023</v>
      </c>
      <c r="B10" t="s">
        <v>135</v>
      </c>
      <c r="C10" t="s">
        <v>136</v>
      </c>
      <c r="D10">
        <v>9</v>
      </c>
      <c r="E10" s="3">
        <v>149882.84115599995</v>
      </c>
    </row>
    <row r="11" spans="1:5" x14ac:dyDescent="0.2">
      <c r="A11">
        <v>2023</v>
      </c>
      <c r="B11" t="s">
        <v>135</v>
      </c>
      <c r="C11" t="s">
        <v>136</v>
      </c>
      <c r="D11">
        <v>10</v>
      </c>
      <c r="E11" s="3">
        <v>154290.88173399991</v>
      </c>
    </row>
    <row r="12" spans="1:5" x14ac:dyDescent="0.2">
      <c r="A12">
        <v>2023</v>
      </c>
      <c r="B12" t="s">
        <v>135</v>
      </c>
      <c r="C12" t="s">
        <v>136</v>
      </c>
      <c r="D12">
        <v>11</v>
      </c>
      <c r="E12" s="3">
        <v>118586.84029200001</v>
      </c>
    </row>
    <row r="13" spans="1:5" x14ac:dyDescent="0.2">
      <c r="A13">
        <v>2023</v>
      </c>
      <c r="B13" t="s">
        <v>135</v>
      </c>
      <c r="C13" t="s">
        <v>136</v>
      </c>
      <c r="D13">
        <v>12</v>
      </c>
      <c r="E13" s="3">
        <v>124491.37037699998</v>
      </c>
    </row>
    <row r="14" spans="1:5" x14ac:dyDescent="0.2">
      <c r="A14">
        <v>2023</v>
      </c>
      <c r="B14" t="s">
        <v>135</v>
      </c>
      <c r="C14" t="s">
        <v>136</v>
      </c>
      <c r="D14">
        <v>13</v>
      </c>
      <c r="E14" s="3">
        <v>118456.439121</v>
      </c>
    </row>
    <row r="15" spans="1:5" x14ac:dyDescent="0.2">
      <c r="A15">
        <v>2023</v>
      </c>
      <c r="B15" t="s">
        <v>135</v>
      </c>
      <c r="C15" t="s">
        <v>136</v>
      </c>
      <c r="D15">
        <v>14</v>
      </c>
      <c r="E15" s="3">
        <v>234238.62455000018</v>
      </c>
    </row>
    <row r="16" spans="1:5" x14ac:dyDescent="0.2">
      <c r="A16">
        <v>2023</v>
      </c>
      <c r="B16" t="s">
        <v>135</v>
      </c>
      <c r="C16" t="s">
        <v>136</v>
      </c>
      <c r="D16">
        <v>15</v>
      </c>
      <c r="E16" s="3">
        <v>246927.57336799998</v>
      </c>
    </row>
    <row r="17" spans="1:5" x14ac:dyDescent="0.2">
      <c r="A17">
        <v>2023</v>
      </c>
      <c r="B17" t="s">
        <v>135</v>
      </c>
      <c r="C17" t="s">
        <v>136</v>
      </c>
      <c r="D17">
        <v>16</v>
      </c>
      <c r="E17" s="3">
        <v>174918.91279199999</v>
      </c>
    </row>
    <row r="18" spans="1:5" x14ac:dyDescent="0.2">
      <c r="A18">
        <v>2023</v>
      </c>
      <c r="B18" t="s">
        <v>135</v>
      </c>
      <c r="C18" t="s">
        <v>136</v>
      </c>
      <c r="D18">
        <v>17</v>
      </c>
      <c r="E18" s="3">
        <v>123485.74809200001</v>
      </c>
    </row>
    <row r="19" spans="1:5" x14ac:dyDescent="0.2">
      <c r="A19">
        <v>2023</v>
      </c>
      <c r="B19" t="s">
        <v>135</v>
      </c>
      <c r="C19" t="s">
        <v>136</v>
      </c>
      <c r="D19">
        <v>18</v>
      </c>
      <c r="E19" s="3">
        <v>119814.83713200002</v>
      </c>
    </row>
    <row r="20" spans="1:5" x14ac:dyDescent="0.2">
      <c r="A20">
        <v>2023</v>
      </c>
      <c r="B20" t="s">
        <v>135</v>
      </c>
      <c r="C20" t="s">
        <v>136</v>
      </c>
      <c r="D20">
        <v>19</v>
      </c>
      <c r="E20" s="3">
        <v>117925.44444099997</v>
      </c>
    </row>
    <row r="21" spans="1:5" x14ac:dyDescent="0.2">
      <c r="A21">
        <v>2023</v>
      </c>
      <c r="B21" t="s">
        <v>135</v>
      </c>
      <c r="C21" t="s">
        <v>136</v>
      </c>
      <c r="D21">
        <v>20</v>
      </c>
      <c r="E21" s="3">
        <v>123385.97082299992</v>
      </c>
    </row>
    <row r="22" spans="1:5" x14ac:dyDescent="0.2">
      <c r="A22">
        <v>2023</v>
      </c>
      <c r="B22" t="s">
        <v>135</v>
      </c>
      <c r="C22" t="s">
        <v>136</v>
      </c>
      <c r="D22">
        <v>21</v>
      </c>
      <c r="E22" s="3">
        <v>236207.62190899992</v>
      </c>
    </row>
    <row r="23" spans="1:5" x14ac:dyDescent="0.2">
      <c r="A23">
        <v>2023</v>
      </c>
      <c r="B23" t="s">
        <v>135</v>
      </c>
      <c r="C23" t="s">
        <v>136</v>
      </c>
      <c r="D23">
        <v>22</v>
      </c>
      <c r="E23" s="3">
        <v>310301.57751299988</v>
      </c>
    </row>
    <row r="24" spans="1:5" x14ac:dyDescent="0.2">
      <c r="A24">
        <v>2023</v>
      </c>
      <c r="B24" t="s">
        <v>135</v>
      </c>
      <c r="C24" t="s">
        <v>136</v>
      </c>
      <c r="D24">
        <v>23</v>
      </c>
      <c r="E24" s="3">
        <v>118145.60533299997</v>
      </c>
    </row>
    <row r="25" spans="1:5" x14ac:dyDescent="0.2">
      <c r="A25">
        <v>2023</v>
      </c>
      <c r="B25" t="s">
        <v>135</v>
      </c>
      <c r="C25" t="s">
        <v>136</v>
      </c>
      <c r="D25">
        <v>24</v>
      </c>
      <c r="E25" s="3">
        <v>120690.25268300001</v>
      </c>
    </row>
    <row r="26" spans="1:5" x14ac:dyDescent="0.2">
      <c r="A26">
        <v>2023</v>
      </c>
      <c r="B26" t="s">
        <v>135</v>
      </c>
      <c r="C26" t="s">
        <v>136</v>
      </c>
      <c r="D26">
        <v>25</v>
      </c>
      <c r="E26" s="3">
        <v>125828.453478</v>
      </c>
    </row>
    <row r="27" spans="1:5" x14ac:dyDescent="0.2">
      <c r="A27">
        <v>2023</v>
      </c>
      <c r="B27" t="s">
        <v>135</v>
      </c>
      <c r="C27" t="s">
        <v>136</v>
      </c>
      <c r="D27">
        <v>26</v>
      </c>
      <c r="E27" s="3">
        <v>124720.92167800001</v>
      </c>
    </row>
    <row r="28" spans="1:5" x14ac:dyDescent="0.2">
      <c r="A28">
        <v>2023</v>
      </c>
      <c r="B28" t="s">
        <v>135</v>
      </c>
      <c r="C28" t="s">
        <v>136</v>
      </c>
      <c r="D28">
        <v>27</v>
      </c>
      <c r="E28" s="3">
        <v>118781.665958</v>
      </c>
    </row>
    <row r="29" spans="1:5" x14ac:dyDescent="0.2">
      <c r="A29">
        <v>2023</v>
      </c>
      <c r="B29" t="s">
        <v>135</v>
      </c>
      <c r="C29" t="s">
        <v>136</v>
      </c>
      <c r="D29">
        <v>28</v>
      </c>
      <c r="E29" s="3">
        <v>236604.47758800024</v>
      </c>
    </row>
    <row r="30" spans="1:5" x14ac:dyDescent="0.2">
      <c r="A30">
        <v>2023</v>
      </c>
      <c r="B30" t="s">
        <v>135</v>
      </c>
      <c r="C30" t="s">
        <v>136</v>
      </c>
      <c r="D30">
        <v>29</v>
      </c>
      <c r="E30" s="3">
        <v>237994.93725399993</v>
      </c>
    </row>
    <row r="31" spans="1:5" x14ac:dyDescent="0.2">
      <c r="A31">
        <v>2023</v>
      </c>
      <c r="B31" t="s">
        <v>135</v>
      </c>
      <c r="C31" t="s">
        <v>136</v>
      </c>
      <c r="D31">
        <v>30</v>
      </c>
      <c r="E31" s="3">
        <v>121071.858817</v>
      </c>
    </row>
    <row r="32" spans="1:5" x14ac:dyDescent="0.2">
      <c r="A32">
        <v>2023</v>
      </c>
      <c r="B32" t="s">
        <v>135</v>
      </c>
      <c r="C32" t="s">
        <v>136</v>
      </c>
      <c r="D32">
        <v>31</v>
      </c>
      <c r="E32" s="3">
        <v>122732.51543599999</v>
      </c>
    </row>
    <row r="33" spans="1:5" x14ac:dyDescent="0.2">
      <c r="A33">
        <v>2023</v>
      </c>
      <c r="B33" t="s">
        <v>135</v>
      </c>
      <c r="C33" t="s">
        <v>137</v>
      </c>
      <c r="D33">
        <v>1</v>
      </c>
      <c r="E33" s="3">
        <v>125959.54733399994</v>
      </c>
    </row>
    <row r="34" spans="1:5" x14ac:dyDescent="0.2">
      <c r="A34">
        <v>2023</v>
      </c>
      <c r="B34" t="s">
        <v>135</v>
      </c>
      <c r="C34" t="s">
        <v>137</v>
      </c>
      <c r="D34">
        <v>2</v>
      </c>
      <c r="E34" s="3">
        <v>123109.090084</v>
      </c>
    </row>
    <row r="35" spans="1:5" x14ac:dyDescent="0.2">
      <c r="A35">
        <v>2023</v>
      </c>
      <c r="B35" t="s">
        <v>135</v>
      </c>
      <c r="C35" t="s">
        <v>137</v>
      </c>
      <c r="D35">
        <v>3</v>
      </c>
      <c r="E35" s="3">
        <v>122482.96333399993</v>
      </c>
    </row>
    <row r="36" spans="1:5" x14ac:dyDescent="0.2">
      <c r="A36">
        <v>2023</v>
      </c>
      <c r="B36" t="s">
        <v>135</v>
      </c>
      <c r="C36" t="s">
        <v>137</v>
      </c>
      <c r="D36">
        <v>4</v>
      </c>
      <c r="E36" s="3">
        <v>246413.77598700003</v>
      </c>
    </row>
    <row r="37" spans="1:5" x14ac:dyDescent="0.2">
      <c r="A37">
        <v>2023</v>
      </c>
      <c r="B37" t="s">
        <v>135</v>
      </c>
      <c r="C37" t="s">
        <v>137</v>
      </c>
      <c r="D37">
        <v>5</v>
      </c>
      <c r="E37" s="3">
        <v>246466.09097600006</v>
      </c>
    </row>
    <row r="38" spans="1:5" x14ac:dyDescent="0.2">
      <c r="A38">
        <v>2023</v>
      </c>
      <c r="B38" t="s">
        <v>135</v>
      </c>
      <c r="C38" t="s">
        <v>137</v>
      </c>
      <c r="D38">
        <v>6</v>
      </c>
      <c r="E38" s="3">
        <v>124889.99592099995</v>
      </c>
    </row>
    <row r="39" spans="1:5" x14ac:dyDescent="0.2">
      <c r="A39">
        <v>2023</v>
      </c>
      <c r="B39" t="s">
        <v>135</v>
      </c>
      <c r="C39" t="s">
        <v>137</v>
      </c>
      <c r="D39">
        <v>7</v>
      </c>
      <c r="E39" s="3">
        <v>120429.43570499998</v>
      </c>
    </row>
    <row r="40" spans="1:5" x14ac:dyDescent="0.2">
      <c r="A40">
        <v>2023</v>
      </c>
      <c r="B40" t="s">
        <v>135</v>
      </c>
      <c r="C40" t="s">
        <v>137</v>
      </c>
      <c r="D40">
        <v>8</v>
      </c>
      <c r="E40" s="3">
        <v>127609.78889999996</v>
      </c>
    </row>
    <row r="41" spans="1:5" x14ac:dyDescent="0.2">
      <c r="A41">
        <v>2023</v>
      </c>
      <c r="B41" t="s">
        <v>135</v>
      </c>
      <c r="C41" t="s">
        <v>137</v>
      </c>
      <c r="D41">
        <v>9</v>
      </c>
      <c r="E41" s="3">
        <v>124848.21718499996</v>
      </c>
    </row>
    <row r="42" spans="1:5" x14ac:dyDescent="0.2">
      <c r="A42">
        <v>2023</v>
      </c>
      <c r="B42" t="s">
        <v>135</v>
      </c>
      <c r="C42" t="s">
        <v>137</v>
      </c>
      <c r="D42">
        <v>10</v>
      </c>
      <c r="E42" s="3">
        <v>123000.41432799997</v>
      </c>
    </row>
    <row r="43" spans="1:5" x14ac:dyDescent="0.2">
      <c r="A43">
        <v>2023</v>
      </c>
      <c r="B43" t="s">
        <v>135</v>
      </c>
      <c r="C43" t="s">
        <v>137</v>
      </c>
      <c r="D43">
        <v>11</v>
      </c>
      <c r="E43" s="3">
        <v>239278.26682800014</v>
      </c>
    </row>
    <row r="44" spans="1:5" x14ac:dyDescent="0.2">
      <c r="A44">
        <v>2023</v>
      </c>
      <c r="B44" t="s">
        <v>135</v>
      </c>
      <c r="C44" t="s">
        <v>137</v>
      </c>
      <c r="D44">
        <v>12</v>
      </c>
      <c r="E44" s="3">
        <v>250500.14314299985</v>
      </c>
    </row>
    <row r="45" spans="1:5" x14ac:dyDescent="0.2">
      <c r="A45">
        <v>2023</v>
      </c>
      <c r="B45" t="s">
        <v>135</v>
      </c>
      <c r="C45" t="s">
        <v>137</v>
      </c>
      <c r="D45">
        <v>13</v>
      </c>
      <c r="E45" s="3">
        <v>122330.75352999996</v>
      </c>
    </row>
    <row r="46" spans="1:5" x14ac:dyDescent="0.2">
      <c r="A46">
        <v>2023</v>
      </c>
      <c r="B46" t="s">
        <v>135</v>
      </c>
      <c r="C46" t="s">
        <v>137</v>
      </c>
      <c r="D46">
        <v>14</v>
      </c>
      <c r="E46" s="3">
        <v>121819.24177199998</v>
      </c>
    </row>
    <row r="47" spans="1:5" x14ac:dyDescent="0.2">
      <c r="A47">
        <v>2023</v>
      </c>
      <c r="B47" t="s">
        <v>135</v>
      </c>
      <c r="C47" t="s">
        <v>137</v>
      </c>
      <c r="D47">
        <v>15</v>
      </c>
      <c r="E47" s="3">
        <v>124416.49146</v>
      </c>
    </row>
    <row r="48" spans="1:5" x14ac:dyDescent="0.2">
      <c r="A48">
        <v>2023</v>
      </c>
      <c r="B48" t="s">
        <v>135</v>
      </c>
      <c r="C48" t="s">
        <v>137</v>
      </c>
      <c r="D48">
        <v>16</v>
      </c>
      <c r="E48" s="3">
        <v>125194.87883999998</v>
      </c>
    </row>
    <row r="49" spans="1:5" x14ac:dyDescent="0.2">
      <c r="A49">
        <v>2023</v>
      </c>
      <c r="B49" t="s">
        <v>135</v>
      </c>
      <c r="C49" t="s">
        <v>137</v>
      </c>
      <c r="D49">
        <v>17</v>
      </c>
      <c r="E49" s="3">
        <v>119123.13033299998</v>
      </c>
    </row>
    <row r="50" spans="1:5" x14ac:dyDescent="0.2">
      <c r="A50">
        <v>2023</v>
      </c>
      <c r="B50" t="s">
        <v>135</v>
      </c>
      <c r="C50" t="s">
        <v>137</v>
      </c>
      <c r="D50">
        <v>18</v>
      </c>
      <c r="E50" s="3">
        <v>237415.78868000009</v>
      </c>
    </row>
    <row r="51" spans="1:5" x14ac:dyDescent="0.2">
      <c r="A51">
        <v>2023</v>
      </c>
      <c r="B51" t="s">
        <v>135</v>
      </c>
      <c r="C51" t="s">
        <v>137</v>
      </c>
      <c r="D51">
        <v>19</v>
      </c>
      <c r="E51" s="3">
        <v>249477.42335500009</v>
      </c>
    </row>
    <row r="52" spans="1:5" x14ac:dyDescent="0.2">
      <c r="A52">
        <v>2023</v>
      </c>
      <c r="B52" t="s">
        <v>135</v>
      </c>
      <c r="C52" t="s">
        <v>137</v>
      </c>
      <c r="D52">
        <v>20</v>
      </c>
      <c r="E52" s="3">
        <v>167873.43354999996</v>
      </c>
    </row>
    <row r="53" spans="1:5" x14ac:dyDescent="0.2">
      <c r="A53">
        <v>2023</v>
      </c>
      <c r="B53" t="s">
        <v>135</v>
      </c>
      <c r="C53" t="s">
        <v>137</v>
      </c>
      <c r="D53">
        <v>21</v>
      </c>
      <c r="E53" s="3">
        <v>121512.27134500002</v>
      </c>
    </row>
    <row r="54" spans="1:5" x14ac:dyDescent="0.2">
      <c r="A54">
        <v>2023</v>
      </c>
      <c r="B54" t="s">
        <v>135</v>
      </c>
      <c r="C54" t="s">
        <v>137</v>
      </c>
      <c r="D54">
        <v>22</v>
      </c>
      <c r="E54" s="3">
        <v>123292.73702999993</v>
      </c>
    </row>
    <row r="55" spans="1:5" x14ac:dyDescent="0.2">
      <c r="A55">
        <v>2023</v>
      </c>
      <c r="B55" t="s">
        <v>135</v>
      </c>
      <c r="C55" t="s">
        <v>137</v>
      </c>
      <c r="D55">
        <v>23</v>
      </c>
      <c r="E55" s="3">
        <v>120924.57173999996</v>
      </c>
    </row>
    <row r="56" spans="1:5" x14ac:dyDescent="0.2">
      <c r="A56">
        <v>2023</v>
      </c>
      <c r="B56" t="s">
        <v>135</v>
      </c>
      <c r="C56" t="s">
        <v>137</v>
      </c>
      <c r="D56">
        <v>24</v>
      </c>
      <c r="E56" s="3">
        <v>122865.79603</v>
      </c>
    </row>
    <row r="57" spans="1:5" x14ac:dyDescent="0.2">
      <c r="A57">
        <v>2023</v>
      </c>
      <c r="B57" t="s">
        <v>135</v>
      </c>
      <c r="C57" t="s">
        <v>137</v>
      </c>
      <c r="D57">
        <v>25</v>
      </c>
      <c r="E57" s="3">
        <v>245600.88104499993</v>
      </c>
    </row>
    <row r="58" spans="1:5" x14ac:dyDescent="0.2">
      <c r="A58">
        <v>2023</v>
      </c>
      <c r="B58" t="s">
        <v>135</v>
      </c>
      <c r="C58" t="s">
        <v>137</v>
      </c>
      <c r="D58">
        <v>26</v>
      </c>
      <c r="E58" s="3">
        <v>245761.26039000007</v>
      </c>
    </row>
    <row r="59" spans="1:5" x14ac:dyDescent="0.2">
      <c r="A59">
        <v>2023</v>
      </c>
      <c r="B59" t="s">
        <v>135</v>
      </c>
      <c r="C59" t="s">
        <v>137</v>
      </c>
      <c r="D59">
        <v>27</v>
      </c>
      <c r="E59" s="3">
        <v>123537.83626999997</v>
      </c>
    </row>
    <row r="60" spans="1:5" x14ac:dyDescent="0.2">
      <c r="A60">
        <v>2023</v>
      </c>
      <c r="B60" t="s">
        <v>135</v>
      </c>
      <c r="C60" t="s">
        <v>137</v>
      </c>
      <c r="D60">
        <v>28</v>
      </c>
      <c r="E60" s="3">
        <v>124994.82041999996</v>
      </c>
    </row>
    <row r="61" spans="1:5" x14ac:dyDescent="0.2">
      <c r="A61">
        <v>2023</v>
      </c>
      <c r="B61" t="s">
        <v>135</v>
      </c>
      <c r="C61" t="s">
        <v>138</v>
      </c>
      <c r="D61">
        <v>1</v>
      </c>
      <c r="E61" s="3">
        <v>274634.31820500002</v>
      </c>
    </row>
    <row r="62" spans="1:5" x14ac:dyDescent="0.2">
      <c r="A62">
        <v>2023</v>
      </c>
      <c r="B62" t="s">
        <v>135</v>
      </c>
      <c r="C62" t="s">
        <v>138</v>
      </c>
      <c r="D62">
        <v>2</v>
      </c>
      <c r="E62" s="3">
        <v>269200.15210500004</v>
      </c>
    </row>
    <row r="63" spans="1:5" x14ac:dyDescent="0.2">
      <c r="A63">
        <v>2023</v>
      </c>
      <c r="B63" t="s">
        <v>135</v>
      </c>
      <c r="C63" t="s">
        <v>138</v>
      </c>
      <c r="D63">
        <v>3</v>
      </c>
      <c r="E63" s="3">
        <v>263959.02609</v>
      </c>
    </row>
    <row r="64" spans="1:5" x14ac:dyDescent="0.2">
      <c r="A64">
        <v>2023</v>
      </c>
      <c r="B64" t="s">
        <v>135</v>
      </c>
      <c r="C64" t="s">
        <v>138</v>
      </c>
      <c r="D64">
        <v>4</v>
      </c>
      <c r="E64" s="3">
        <v>564494.92900499981</v>
      </c>
    </row>
    <row r="65" spans="1:5" x14ac:dyDescent="0.2">
      <c r="A65">
        <v>2023</v>
      </c>
      <c r="B65" t="s">
        <v>135</v>
      </c>
      <c r="C65" t="s">
        <v>138</v>
      </c>
      <c r="D65">
        <v>5</v>
      </c>
      <c r="E65" s="3">
        <v>551697.27860499977</v>
      </c>
    </row>
    <row r="66" spans="1:5" x14ac:dyDescent="0.2">
      <c r="A66">
        <v>2023</v>
      </c>
      <c r="B66" t="s">
        <v>135</v>
      </c>
      <c r="C66" t="s">
        <v>138</v>
      </c>
      <c r="D66">
        <v>6</v>
      </c>
      <c r="E66" s="3">
        <v>263685.11742499995</v>
      </c>
    </row>
    <row r="67" spans="1:5" x14ac:dyDescent="0.2">
      <c r="A67">
        <v>2023</v>
      </c>
      <c r="B67" t="s">
        <v>135</v>
      </c>
      <c r="C67" t="s">
        <v>138</v>
      </c>
      <c r="D67">
        <v>7</v>
      </c>
      <c r="E67" s="3">
        <v>265810.37119999988</v>
      </c>
    </row>
    <row r="68" spans="1:5" x14ac:dyDescent="0.2">
      <c r="A68">
        <v>2023</v>
      </c>
      <c r="B68" t="s">
        <v>135</v>
      </c>
      <c r="C68" t="s">
        <v>138</v>
      </c>
      <c r="D68">
        <v>8</v>
      </c>
      <c r="E68" s="3">
        <v>266310.30961</v>
      </c>
    </row>
    <row r="69" spans="1:5" x14ac:dyDescent="0.2">
      <c r="A69">
        <v>2023</v>
      </c>
      <c r="B69" t="s">
        <v>135</v>
      </c>
      <c r="C69" t="s">
        <v>138</v>
      </c>
      <c r="D69">
        <v>9</v>
      </c>
      <c r="E69" s="3">
        <v>268349.05044499994</v>
      </c>
    </row>
    <row r="70" spans="1:5" x14ac:dyDescent="0.2">
      <c r="A70">
        <v>2023</v>
      </c>
      <c r="B70" t="s">
        <v>135</v>
      </c>
      <c r="C70" t="s">
        <v>138</v>
      </c>
      <c r="D70">
        <v>10</v>
      </c>
      <c r="E70" s="3">
        <v>282296.35625000013</v>
      </c>
    </row>
    <row r="71" spans="1:5" x14ac:dyDescent="0.2">
      <c r="A71">
        <v>2023</v>
      </c>
      <c r="B71" t="s">
        <v>135</v>
      </c>
      <c r="C71" t="s">
        <v>138</v>
      </c>
      <c r="D71">
        <v>11</v>
      </c>
      <c r="E71" s="3">
        <v>536763.84779999987</v>
      </c>
    </row>
    <row r="72" spans="1:5" x14ac:dyDescent="0.2">
      <c r="A72">
        <v>2023</v>
      </c>
      <c r="B72" t="s">
        <v>135</v>
      </c>
      <c r="C72" t="s">
        <v>138</v>
      </c>
      <c r="D72">
        <v>12</v>
      </c>
      <c r="E72" s="3">
        <v>552713.14909999911</v>
      </c>
    </row>
    <row r="73" spans="1:5" x14ac:dyDescent="0.2">
      <c r="A73">
        <v>2023</v>
      </c>
      <c r="B73" t="s">
        <v>135</v>
      </c>
      <c r="C73" t="s">
        <v>138</v>
      </c>
      <c r="D73">
        <v>13</v>
      </c>
      <c r="E73" s="3">
        <v>269916.27565999998</v>
      </c>
    </row>
    <row r="74" spans="1:5" x14ac:dyDescent="0.2">
      <c r="A74">
        <v>2023</v>
      </c>
      <c r="B74" t="s">
        <v>135</v>
      </c>
      <c r="C74" t="s">
        <v>138</v>
      </c>
      <c r="D74">
        <v>14</v>
      </c>
      <c r="E74" s="3">
        <v>275671.16944999999</v>
      </c>
    </row>
    <row r="75" spans="1:5" x14ac:dyDescent="0.2">
      <c r="A75">
        <v>2023</v>
      </c>
      <c r="B75" t="s">
        <v>135</v>
      </c>
      <c r="C75" t="s">
        <v>138</v>
      </c>
      <c r="D75">
        <v>15</v>
      </c>
      <c r="E75" s="3">
        <v>355637.23751799995</v>
      </c>
    </row>
    <row r="76" spans="1:5" x14ac:dyDescent="0.2">
      <c r="A76">
        <v>2023</v>
      </c>
      <c r="B76" t="s">
        <v>135</v>
      </c>
      <c r="C76" t="s">
        <v>138</v>
      </c>
      <c r="D76">
        <v>16</v>
      </c>
      <c r="E76" s="3">
        <v>348155.33739200013</v>
      </c>
    </row>
    <row r="77" spans="1:5" x14ac:dyDescent="0.2">
      <c r="A77">
        <v>2023</v>
      </c>
      <c r="B77" t="s">
        <v>135</v>
      </c>
      <c r="C77" t="s">
        <v>138</v>
      </c>
      <c r="D77">
        <v>17</v>
      </c>
      <c r="E77" s="3">
        <v>335387.37869699986</v>
      </c>
    </row>
    <row r="78" spans="1:5" x14ac:dyDescent="0.2">
      <c r="A78">
        <v>2023</v>
      </c>
      <c r="B78" t="s">
        <v>135</v>
      </c>
      <c r="C78" t="s">
        <v>138</v>
      </c>
      <c r="D78">
        <v>18</v>
      </c>
      <c r="E78" s="3">
        <v>723577.25167899986</v>
      </c>
    </row>
    <row r="79" spans="1:5" x14ac:dyDescent="0.2">
      <c r="A79">
        <v>2023</v>
      </c>
      <c r="B79" t="s">
        <v>135</v>
      </c>
      <c r="C79" t="s">
        <v>138</v>
      </c>
      <c r="D79">
        <v>19</v>
      </c>
      <c r="E79" s="3">
        <v>722034.42976900039</v>
      </c>
    </row>
    <row r="80" spans="1:5" x14ac:dyDescent="0.2">
      <c r="A80">
        <v>2023</v>
      </c>
      <c r="B80" t="s">
        <v>135</v>
      </c>
      <c r="C80" t="s">
        <v>138</v>
      </c>
      <c r="D80">
        <v>20</v>
      </c>
      <c r="E80" s="3">
        <v>361772.65845600015</v>
      </c>
    </row>
    <row r="81" spans="1:5" x14ac:dyDescent="0.2">
      <c r="A81">
        <v>2023</v>
      </c>
      <c r="B81" t="s">
        <v>135</v>
      </c>
      <c r="C81" t="s">
        <v>138</v>
      </c>
      <c r="D81">
        <v>21</v>
      </c>
      <c r="E81" s="3">
        <v>335074.95188799978</v>
      </c>
    </row>
    <row r="82" spans="1:5" x14ac:dyDescent="0.2">
      <c r="A82">
        <v>2023</v>
      </c>
      <c r="B82" t="s">
        <v>135</v>
      </c>
      <c r="C82" t="s">
        <v>138</v>
      </c>
      <c r="D82">
        <v>22</v>
      </c>
      <c r="E82" s="3">
        <v>346943.2303489999</v>
      </c>
    </row>
    <row r="83" spans="1:5" x14ac:dyDescent="0.2">
      <c r="A83">
        <v>2023</v>
      </c>
      <c r="B83" t="s">
        <v>135</v>
      </c>
      <c r="C83" t="s">
        <v>138</v>
      </c>
      <c r="D83">
        <v>23</v>
      </c>
      <c r="E83" s="3">
        <v>324671.01036099991</v>
      </c>
    </row>
    <row r="84" spans="1:5" x14ac:dyDescent="0.2">
      <c r="A84">
        <v>2023</v>
      </c>
      <c r="B84" t="s">
        <v>135</v>
      </c>
      <c r="C84" t="s">
        <v>138</v>
      </c>
      <c r="D84">
        <v>24</v>
      </c>
      <c r="E84" s="3">
        <v>345717.47162100015</v>
      </c>
    </row>
    <row r="85" spans="1:5" x14ac:dyDescent="0.2">
      <c r="A85">
        <v>2023</v>
      </c>
      <c r="B85" t="s">
        <v>135</v>
      </c>
      <c r="C85" t="s">
        <v>138</v>
      </c>
      <c r="D85">
        <v>25</v>
      </c>
      <c r="E85" s="3">
        <v>664798.0942740005</v>
      </c>
    </row>
    <row r="86" spans="1:5" x14ac:dyDescent="0.2">
      <c r="A86">
        <v>2023</v>
      </c>
      <c r="B86" t="s">
        <v>135</v>
      </c>
      <c r="C86" t="s">
        <v>138</v>
      </c>
      <c r="D86">
        <v>26</v>
      </c>
      <c r="E86" s="3">
        <v>676971.78443900007</v>
      </c>
    </row>
    <row r="87" spans="1:5" x14ac:dyDescent="0.2">
      <c r="A87">
        <v>2023</v>
      </c>
      <c r="B87" t="s">
        <v>135</v>
      </c>
      <c r="C87" t="s">
        <v>138</v>
      </c>
      <c r="D87">
        <v>27</v>
      </c>
      <c r="E87" s="3">
        <v>346040.57675599999</v>
      </c>
    </row>
    <row r="88" spans="1:5" x14ac:dyDescent="0.2">
      <c r="A88">
        <v>2023</v>
      </c>
      <c r="B88" t="s">
        <v>135</v>
      </c>
      <c r="C88" t="s">
        <v>138</v>
      </c>
      <c r="D88">
        <v>28</v>
      </c>
      <c r="E88" s="3">
        <v>342425.29829400004</v>
      </c>
    </row>
    <row r="89" spans="1:5" x14ac:dyDescent="0.2">
      <c r="A89">
        <v>2023</v>
      </c>
      <c r="B89" t="s">
        <v>135</v>
      </c>
      <c r="C89" t="s">
        <v>138</v>
      </c>
      <c r="D89">
        <v>29</v>
      </c>
      <c r="E89" s="3">
        <v>339231.00090600003</v>
      </c>
    </row>
    <row r="90" spans="1:5" x14ac:dyDescent="0.2">
      <c r="A90">
        <v>2023</v>
      </c>
      <c r="B90" t="s">
        <v>135</v>
      </c>
      <c r="C90" t="s">
        <v>138</v>
      </c>
      <c r="D90">
        <v>30</v>
      </c>
      <c r="E90" s="3">
        <v>341830.02611200017</v>
      </c>
    </row>
    <row r="91" spans="1:5" x14ac:dyDescent="0.2">
      <c r="A91">
        <v>2023</v>
      </c>
      <c r="B91" t="s">
        <v>135</v>
      </c>
      <c r="C91" t="s">
        <v>138</v>
      </c>
      <c r="D91">
        <v>31</v>
      </c>
      <c r="E91" s="3">
        <v>350858.42107899982</v>
      </c>
    </row>
    <row r="92" spans="1:5" x14ac:dyDescent="0.2">
      <c r="A92">
        <v>2023</v>
      </c>
      <c r="B92" t="s">
        <v>139</v>
      </c>
      <c r="C92" t="s">
        <v>140</v>
      </c>
      <c r="D92">
        <v>1</v>
      </c>
      <c r="E92" s="3">
        <v>466883.7050889997</v>
      </c>
    </row>
    <row r="93" spans="1:5" x14ac:dyDescent="0.2">
      <c r="A93">
        <v>2023</v>
      </c>
      <c r="B93" t="s">
        <v>139</v>
      </c>
      <c r="C93" t="s">
        <v>140</v>
      </c>
      <c r="D93">
        <v>2</v>
      </c>
      <c r="E93" s="3">
        <v>500597.73254399974</v>
      </c>
    </row>
    <row r="94" spans="1:5" x14ac:dyDescent="0.2">
      <c r="A94">
        <v>2023</v>
      </c>
      <c r="B94" t="s">
        <v>139</v>
      </c>
      <c r="C94" t="s">
        <v>140</v>
      </c>
      <c r="D94">
        <v>3</v>
      </c>
      <c r="E94" s="3">
        <v>240893.147509</v>
      </c>
    </row>
    <row r="95" spans="1:5" x14ac:dyDescent="0.2">
      <c r="A95">
        <v>2023</v>
      </c>
      <c r="B95" t="s">
        <v>139</v>
      </c>
      <c r="C95" t="s">
        <v>140</v>
      </c>
      <c r="D95">
        <v>4</v>
      </c>
      <c r="E95" s="3">
        <v>242024.05209599988</v>
      </c>
    </row>
    <row r="96" spans="1:5" x14ac:dyDescent="0.2">
      <c r="A96">
        <v>2023</v>
      </c>
      <c r="B96" t="s">
        <v>139</v>
      </c>
      <c r="C96" t="s">
        <v>140</v>
      </c>
      <c r="D96">
        <v>5</v>
      </c>
      <c r="E96" s="3">
        <v>321339.99132099986</v>
      </c>
    </row>
    <row r="97" spans="1:5" x14ac:dyDescent="0.2">
      <c r="A97">
        <v>2023</v>
      </c>
      <c r="B97" t="s">
        <v>139</v>
      </c>
      <c r="C97" t="s">
        <v>140</v>
      </c>
      <c r="D97">
        <v>6</v>
      </c>
      <c r="E97" s="3">
        <v>237894.92399999985</v>
      </c>
    </row>
    <row r="98" spans="1:5" x14ac:dyDescent="0.2">
      <c r="A98">
        <v>2023</v>
      </c>
      <c r="B98" t="s">
        <v>139</v>
      </c>
      <c r="C98" t="s">
        <v>140</v>
      </c>
      <c r="D98">
        <v>7</v>
      </c>
      <c r="E98" s="3">
        <v>386941.39894399996</v>
      </c>
    </row>
    <row r="99" spans="1:5" x14ac:dyDescent="0.2">
      <c r="A99">
        <v>2023</v>
      </c>
      <c r="B99" t="s">
        <v>139</v>
      </c>
      <c r="C99" t="s">
        <v>140</v>
      </c>
      <c r="D99">
        <v>8</v>
      </c>
      <c r="E99" s="3">
        <v>473585.26745499985</v>
      </c>
    </row>
    <row r="100" spans="1:5" x14ac:dyDescent="0.2">
      <c r="A100">
        <v>2023</v>
      </c>
      <c r="B100" t="s">
        <v>139</v>
      </c>
      <c r="C100" t="s">
        <v>140</v>
      </c>
      <c r="D100">
        <v>9</v>
      </c>
      <c r="E100" s="3">
        <v>599450.45952100004</v>
      </c>
    </row>
    <row r="101" spans="1:5" x14ac:dyDescent="0.2">
      <c r="A101">
        <v>2023</v>
      </c>
      <c r="B101" t="s">
        <v>139</v>
      </c>
      <c r="C101" t="s">
        <v>140</v>
      </c>
      <c r="D101">
        <v>10</v>
      </c>
      <c r="E101" s="3">
        <v>339901.41491299984</v>
      </c>
    </row>
    <row r="102" spans="1:5" x14ac:dyDescent="0.2">
      <c r="A102">
        <v>2023</v>
      </c>
      <c r="B102" t="s">
        <v>139</v>
      </c>
      <c r="C102" t="s">
        <v>140</v>
      </c>
      <c r="D102">
        <v>11</v>
      </c>
      <c r="E102" s="3">
        <v>243387.35620099993</v>
      </c>
    </row>
    <row r="103" spans="1:5" x14ac:dyDescent="0.2">
      <c r="A103">
        <v>2023</v>
      </c>
      <c r="B103" t="s">
        <v>139</v>
      </c>
      <c r="C103" t="s">
        <v>140</v>
      </c>
      <c r="D103">
        <v>12</v>
      </c>
      <c r="E103" s="3">
        <v>237217.51857499994</v>
      </c>
    </row>
    <row r="104" spans="1:5" x14ac:dyDescent="0.2">
      <c r="A104">
        <v>2023</v>
      </c>
      <c r="B104" t="s">
        <v>139</v>
      </c>
      <c r="C104" t="s">
        <v>140</v>
      </c>
      <c r="D104">
        <v>13</v>
      </c>
      <c r="E104" s="3">
        <v>233616.37720199997</v>
      </c>
    </row>
    <row r="105" spans="1:5" x14ac:dyDescent="0.2">
      <c r="A105">
        <v>2023</v>
      </c>
      <c r="B105" t="s">
        <v>139</v>
      </c>
      <c r="C105" t="s">
        <v>140</v>
      </c>
      <c r="D105">
        <v>14</v>
      </c>
      <c r="E105" s="3">
        <v>233590.810432</v>
      </c>
    </row>
    <row r="106" spans="1:5" x14ac:dyDescent="0.2">
      <c r="A106">
        <v>2023</v>
      </c>
      <c r="B106" t="s">
        <v>139</v>
      </c>
      <c r="C106" t="s">
        <v>140</v>
      </c>
      <c r="D106">
        <v>15</v>
      </c>
      <c r="E106" s="3">
        <v>487687.05157700001</v>
      </c>
    </row>
    <row r="107" spans="1:5" x14ac:dyDescent="0.2">
      <c r="A107">
        <v>2023</v>
      </c>
      <c r="B107" t="s">
        <v>139</v>
      </c>
      <c r="C107" t="s">
        <v>140</v>
      </c>
      <c r="D107">
        <v>16</v>
      </c>
      <c r="E107" s="3">
        <v>490523.8010659999</v>
      </c>
    </row>
    <row r="108" spans="1:5" x14ac:dyDescent="0.2">
      <c r="A108">
        <v>2023</v>
      </c>
      <c r="B108" t="s">
        <v>139</v>
      </c>
      <c r="C108" t="s">
        <v>140</v>
      </c>
      <c r="D108">
        <v>17</v>
      </c>
      <c r="E108" s="3">
        <v>245040.70474399993</v>
      </c>
    </row>
    <row r="109" spans="1:5" x14ac:dyDescent="0.2">
      <c r="A109">
        <v>2023</v>
      </c>
      <c r="B109" t="s">
        <v>139</v>
      </c>
      <c r="C109" t="s">
        <v>140</v>
      </c>
      <c r="D109">
        <v>18</v>
      </c>
      <c r="E109" s="3">
        <v>236203.58976199996</v>
      </c>
    </row>
    <row r="110" spans="1:5" x14ac:dyDescent="0.2">
      <c r="A110">
        <v>2023</v>
      </c>
      <c r="B110" t="s">
        <v>139</v>
      </c>
      <c r="C110" t="s">
        <v>140</v>
      </c>
      <c r="D110">
        <v>19</v>
      </c>
      <c r="E110" s="3">
        <v>242259.88712300002</v>
      </c>
    </row>
    <row r="111" spans="1:5" x14ac:dyDescent="0.2">
      <c r="A111">
        <v>2023</v>
      </c>
      <c r="B111" t="s">
        <v>139</v>
      </c>
      <c r="C111" t="s">
        <v>140</v>
      </c>
      <c r="D111">
        <v>20</v>
      </c>
      <c r="E111" s="3">
        <v>243921.71473200002</v>
      </c>
    </row>
    <row r="112" spans="1:5" x14ac:dyDescent="0.2">
      <c r="A112">
        <v>2023</v>
      </c>
      <c r="B112" t="s">
        <v>139</v>
      </c>
      <c r="C112" t="s">
        <v>140</v>
      </c>
      <c r="D112">
        <v>21</v>
      </c>
      <c r="E112" s="3">
        <v>236706.93355799996</v>
      </c>
    </row>
    <row r="113" spans="1:5" x14ac:dyDescent="0.2">
      <c r="A113">
        <v>2023</v>
      </c>
      <c r="B113" t="s">
        <v>139</v>
      </c>
      <c r="C113" t="s">
        <v>140</v>
      </c>
      <c r="D113">
        <v>22</v>
      </c>
      <c r="E113" s="3">
        <v>480645.81642899988</v>
      </c>
    </row>
    <row r="114" spans="1:5" x14ac:dyDescent="0.2">
      <c r="A114">
        <v>2023</v>
      </c>
      <c r="B114" t="s">
        <v>139</v>
      </c>
      <c r="C114" t="s">
        <v>140</v>
      </c>
      <c r="D114">
        <v>23</v>
      </c>
      <c r="E114" s="3">
        <v>509305.81979299989</v>
      </c>
    </row>
    <row r="115" spans="1:5" x14ac:dyDescent="0.2">
      <c r="A115">
        <v>2023</v>
      </c>
      <c r="B115" t="s">
        <v>139</v>
      </c>
      <c r="C115" t="s">
        <v>140</v>
      </c>
      <c r="D115">
        <v>24</v>
      </c>
      <c r="E115" s="3">
        <v>240818.64434099995</v>
      </c>
    </row>
    <row r="116" spans="1:5" x14ac:dyDescent="0.2">
      <c r="A116">
        <v>2023</v>
      </c>
      <c r="B116" t="s">
        <v>139</v>
      </c>
      <c r="C116" t="s">
        <v>140</v>
      </c>
      <c r="D116">
        <v>25</v>
      </c>
      <c r="E116" s="3">
        <v>297250.05498099973</v>
      </c>
    </row>
    <row r="117" spans="1:5" x14ac:dyDescent="0.2">
      <c r="A117">
        <v>2023</v>
      </c>
      <c r="B117" t="s">
        <v>139</v>
      </c>
      <c r="C117" t="s">
        <v>140</v>
      </c>
      <c r="D117">
        <v>26</v>
      </c>
      <c r="E117" s="3">
        <v>235049.265315</v>
      </c>
    </row>
    <row r="118" spans="1:5" x14ac:dyDescent="0.2">
      <c r="A118">
        <v>2023</v>
      </c>
      <c r="B118" t="s">
        <v>139</v>
      </c>
      <c r="C118" t="s">
        <v>140</v>
      </c>
      <c r="D118">
        <v>27</v>
      </c>
      <c r="E118" s="3">
        <v>228584.79393500002</v>
      </c>
    </row>
    <row r="119" spans="1:5" x14ac:dyDescent="0.2">
      <c r="A119">
        <v>2023</v>
      </c>
      <c r="B119" t="s">
        <v>139</v>
      </c>
      <c r="C119" t="s">
        <v>140</v>
      </c>
      <c r="D119">
        <v>28</v>
      </c>
      <c r="E119" s="3">
        <v>243114.37514999998</v>
      </c>
    </row>
    <row r="120" spans="1:5" x14ac:dyDescent="0.2">
      <c r="A120">
        <v>2023</v>
      </c>
      <c r="B120" t="s">
        <v>139</v>
      </c>
      <c r="C120" t="s">
        <v>140</v>
      </c>
      <c r="D120">
        <v>29</v>
      </c>
      <c r="E120" s="3">
        <v>489259.05025300011</v>
      </c>
    </row>
    <row r="121" spans="1:5" x14ac:dyDescent="0.2">
      <c r="A121">
        <v>2023</v>
      </c>
      <c r="B121" t="s">
        <v>139</v>
      </c>
      <c r="C121" t="s">
        <v>140</v>
      </c>
      <c r="D121">
        <v>30</v>
      </c>
      <c r="E121" s="3">
        <v>487518.51629999978</v>
      </c>
    </row>
    <row r="122" spans="1:5" x14ac:dyDescent="0.2">
      <c r="A122">
        <v>2023</v>
      </c>
      <c r="B122" t="s">
        <v>139</v>
      </c>
      <c r="C122" t="s">
        <v>141</v>
      </c>
      <c r="D122">
        <v>1</v>
      </c>
      <c r="E122" s="3">
        <v>580016.89168699959</v>
      </c>
    </row>
    <row r="123" spans="1:5" x14ac:dyDescent="0.2">
      <c r="A123">
        <v>2023</v>
      </c>
      <c r="B123" t="s">
        <v>139</v>
      </c>
      <c r="C123" t="s">
        <v>141</v>
      </c>
      <c r="D123">
        <v>2</v>
      </c>
      <c r="E123" s="3">
        <v>274784.23569999996</v>
      </c>
    </row>
    <row r="124" spans="1:5" x14ac:dyDescent="0.2">
      <c r="A124">
        <v>2023</v>
      </c>
      <c r="B124" t="s">
        <v>139</v>
      </c>
      <c r="C124" t="s">
        <v>141</v>
      </c>
      <c r="D124">
        <v>3</v>
      </c>
      <c r="E124" s="3">
        <v>270113.97998999991</v>
      </c>
    </row>
    <row r="125" spans="1:5" x14ac:dyDescent="0.2">
      <c r="A125">
        <v>2023</v>
      </c>
      <c r="B125" t="s">
        <v>139</v>
      </c>
      <c r="C125" t="s">
        <v>141</v>
      </c>
      <c r="D125">
        <v>4</v>
      </c>
      <c r="E125" s="3">
        <v>282649.51371500001</v>
      </c>
    </row>
    <row r="126" spans="1:5" x14ac:dyDescent="0.2">
      <c r="A126">
        <v>2023</v>
      </c>
      <c r="B126" t="s">
        <v>139</v>
      </c>
      <c r="C126" t="s">
        <v>141</v>
      </c>
      <c r="D126">
        <v>5</v>
      </c>
      <c r="E126" s="3">
        <v>283334.98851700011</v>
      </c>
    </row>
    <row r="127" spans="1:5" x14ac:dyDescent="0.2">
      <c r="A127">
        <v>2023</v>
      </c>
      <c r="B127" t="s">
        <v>139</v>
      </c>
      <c r="C127" t="s">
        <v>141</v>
      </c>
      <c r="D127">
        <v>6</v>
      </c>
      <c r="E127" s="3">
        <v>525966.07443299913</v>
      </c>
    </row>
    <row r="128" spans="1:5" x14ac:dyDescent="0.2">
      <c r="A128">
        <v>2023</v>
      </c>
      <c r="B128" t="s">
        <v>139</v>
      </c>
      <c r="C128" t="s">
        <v>141</v>
      </c>
      <c r="D128">
        <v>7</v>
      </c>
      <c r="E128" s="3">
        <v>537243.86247999896</v>
      </c>
    </row>
    <row r="129" spans="1:5" x14ac:dyDescent="0.2">
      <c r="A129">
        <v>2023</v>
      </c>
      <c r="B129" t="s">
        <v>139</v>
      </c>
      <c r="C129" t="s">
        <v>141</v>
      </c>
      <c r="D129">
        <v>8</v>
      </c>
      <c r="E129" s="3">
        <v>320330.65508499963</v>
      </c>
    </row>
    <row r="130" spans="1:5" x14ac:dyDescent="0.2">
      <c r="A130">
        <v>2023</v>
      </c>
      <c r="B130" t="s">
        <v>139</v>
      </c>
      <c r="C130" t="s">
        <v>141</v>
      </c>
      <c r="D130">
        <v>9</v>
      </c>
      <c r="E130" s="3">
        <v>280613.74371799972</v>
      </c>
    </row>
    <row r="131" spans="1:5" x14ac:dyDescent="0.2">
      <c r="A131">
        <v>2023</v>
      </c>
      <c r="B131" t="s">
        <v>139</v>
      </c>
      <c r="C131" t="s">
        <v>141</v>
      </c>
      <c r="D131">
        <v>10</v>
      </c>
      <c r="E131" s="3">
        <v>287454.76265300001</v>
      </c>
    </row>
    <row r="132" spans="1:5" x14ac:dyDescent="0.2">
      <c r="A132">
        <v>2023</v>
      </c>
      <c r="B132" t="s">
        <v>139</v>
      </c>
      <c r="C132" t="s">
        <v>141</v>
      </c>
      <c r="D132">
        <v>11</v>
      </c>
      <c r="E132" s="3">
        <v>276648.06471000006</v>
      </c>
    </row>
    <row r="133" spans="1:5" x14ac:dyDescent="0.2">
      <c r="A133">
        <v>2023</v>
      </c>
      <c r="B133" t="s">
        <v>139</v>
      </c>
      <c r="C133" t="s">
        <v>141</v>
      </c>
      <c r="D133">
        <v>12</v>
      </c>
      <c r="E133" s="3">
        <v>285440.07750999992</v>
      </c>
    </row>
    <row r="134" spans="1:5" x14ac:dyDescent="0.2">
      <c r="A134">
        <v>2023</v>
      </c>
      <c r="B134" t="s">
        <v>139</v>
      </c>
      <c r="C134" t="s">
        <v>141</v>
      </c>
      <c r="D134">
        <v>13</v>
      </c>
      <c r="E134" s="3">
        <v>567802.6579779993</v>
      </c>
    </row>
    <row r="135" spans="1:5" x14ac:dyDescent="0.2">
      <c r="A135">
        <v>2023</v>
      </c>
      <c r="B135" t="s">
        <v>139</v>
      </c>
      <c r="C135" t="s">
        <v>141</v>
      </c>
      <c r="D135">
        <v>14</v>
      </c>
      <c r="E135" s="3">
        <v>553826.40153899952</v>
      </c>
    </row>
    <row r="136" spans="1:5" x14ac:dyDescent="0.2">
      <c r="A136">
        <v>2023</v>
      </c>
      <c r="B136" t="s">
        <v>139</v>
      </c>
      <c r="C136" t="s">
        <v>141</v>
      </c>
      <c r="D136">
        <v>15</v>
      </c>
      <c r="E136" s="3">
        <v>277186.16936899989</v>
      </c>
    </row>
    <row r="137" spans="1:5" x14ac:dyDescent="0.2">
      <c r="A137">
        <v>2023</v>
      </c>
      <c r="B137" t="s">
        <v>139</v>
      </c>
      <c r="C137" t="s">
        <v>141</v>
      </c>
      <c r="D137">
        <v>16</v>
      </c>
      <c r="E137" s="3">
        <v>219424.001456</v>
      </c>
    </row>
    <row r="138" spans="1:5" x14ac:dyDescent="0.2">
      <c r="A138">
        <v>2023</v>
      </c>
      <c r="B138" t="s">
        <v>139</v>
      </c>
      <c r="C138" t="s">
        <v>141</v>
      </c>
      <c r="D138">
        <v>17</v>
      </c>
      <c r="E138" s="3">
        <v>216060.83325399994</v>
      </c>
    </row>
    <row r="139" spans="1:5" x14ac:dyDescent="0.2">
      <c r="A139">
        <v>2023</v>
      </c>
      <c r="B139" t="s">
        <v>139</v>
      </c>
      <c r="C139" t="s">
        <v>141</v>
      </c>
      <c r="D139">
        <v>18</v>
      </c>
      <c r="E139" s="3">
        <v>287403.89331999997</v>
      </c>
    </row>
    <row r="140" spans="1:5" x14ac:dyDescent="0.2">
      <c r="A140">
        <v>2023</v>
      </c>
      <c r="B140" t="s">
        <v>139</v>
      </c>
      <c r="C140" t="s">
        <v>141</v>
      </c>
      <c r="D140">
        <v>19</v>
      </c>
      <c r="E140" s="3">
        <v>220180.70899899999</v>
      </c>
    </row>
    <row r="141" spans="1:5" x14ac:dyDescent="0.2">
      <c r="A141">
        <v>2023</v>
      </c>
      <c r="B141" t="s">
        <v>139</v>
      </c>
      <c r="C141" t="s">
        <v>141</v>
      </c>
      <c r="D141">
        <v>20</v>
      </c>
      <c r="E141" s="3">
        <v>423554.67048900004</v>
      </c>
    </row>
    <row r="142" spans="1:5" x14ac:dyDescent="0.2">
      <c r="A142">
        <v>2023</v>
      </c>
      <c r="B142" t="s">
        <v>139</v>
      </c>
      <c r="C142" t="s">
        <v>141</v>
      </c>
      <c r="D142">
        <v>21</v>
      </c>
      <c r="E142" s="3">
        <v>427235.98666799953</v>
      </c>
    </row>
    <row r="143" spans="1:5" x14ac:dyDescent="0.2">
      <c r="A143">
        <v>2023</v>
      </c>
      <c r="B143" t="s">
        <v>139</v>
      </c>
      <c r="C143" t="s">
        <v>141</v>
      </c>
      <c r="D143">
        <v>22</v>
      </c>
      <c r="E143" s="3">
        <v>222819.08122199998</v>
      </c>
    </row>
    <row r="144" spans="1:5" x14ac:dyDescent="0.2">
      <c r="A144">
        <v>2023</v>
      </c>
      <c r="B144" t="s">
        <v>139</v>
      </c>
      <c r="C144" t="s">
        <v>141</v>
      </c>
      <c r="D144">
        <v>23</v>
      </c>
      <c r="E144" s="3">
        <v>207848.03695699995</v>
      </c>
    </row>
    <row r="145" spans="1:5" x14ac:dyDescent="0.2">
      <c r="A145">
        <v>2023</v>
      </c>
      <c r="B145" t="s">
        <v>139</v>
      </c>
      <c r="C145" t="s">
        <v>141</v>
      </c>
      <c r="D145">
        <v>24</v>
      </c>
      <c r="E145" s="3">
        <v>223329.43503499997</v>
      </c>
    </row>
    <row r="146" spans="1:5" x14ac:dyDescent="0.2">
      <c r="A146">
        <v>2023</v>
      </c>
      <c r="B146" t="s">
        <v>139</v>
      </c>
      <c r="C146" t="s">
        <v>141</v>
      </c>
      <c r="D146">
        <v>25</v>
      </c>
      <c r="E146" s="3">
        <v>210291.28418599998</v>
      </c>
    </row>
    <row r="147" spans="1:5" x14ac:dyDescent="0.2">
      <c r="A147">
        <v>2023</v>
      </c>
      <c r="B147" t="s">
        <v>139</v>
      </c>
      <c r="C147" t="s">
        <v>141</v>
      </c>
      <c r="D147">
        <v>26</v>
      </c>
      <c r="E147" s="3">
        <v>213618.93165499996</v>
      </c>
    </row>
    <row r="148" spans="1:5" x14ac:dyDescent="0.2">
      <c r="A148">
        <v>2023</v>
      </c>
      <c r="B148" t="s">
        <v>139</v>
      </c>
      <c r="C148" t="s">
        <v>141</v>
      </c>
      <c r="D148">
        <v>27</v>
      </c>
      <c r="E148" s="3">
        <v>420263.74550300022</v>
      </c>
    </row>
    <row r="149" spans="1:5" x14ac:dyDescent="0.2">
      <c r="A149">
        <v>2023</v>
      </c>
      <c r="B149" t="s">
        <v>139</v>
      </c>
      <c r="C149" t="s">
        <v>141</v>
      </c>
      <c r="D149">
        <v>28</v>
      </c>
      <c r="E149" s="3">
        <v>412536.63176700019</v>
      </c>
    </row>
    <row r="150" spans="1:5" x14ac:dyDescent="0.2">
      <c r="A150">
        <v>2023</v>
      </c>
      <c r="B150" t="s">
        <v>139</v>
      </c>
      <c r="C150" t="s">
        <v>141</v>
      </c>
      <c r="D150">
        <v>29</v>
      </c>
      <c r="E150" s="3">
        <v>394372.74700299988</v>
      </c>
    </row>
    <row r="151" spans="1:5" x14ac:dyDescent="0.2">
      <c r="A151">
        <v>2023</v>
      </c>
      <c r="B151" t="s">
        <v>139</v>
      </c>
      <c r="C151" t="s">
        <v>141</v>
      </c>
      <c r="D151">
        <v>30</v>
      </c>
      <c r="E151" s="3">
        <v>209869.73218899997</v>
      </c>
    </row>
    <row r="152" spans="1:5" x14ac:dyDescent="0.2">
      <c r="A152">
        <v>2023</v>
      </c>
      <c r="B152" t="s">
        <v>139</v>
      </c>
      <c r="C152" t="s">
        <v>141</v>
      </c>
      <c r="D152">
        <v>31</v>
      </c>
      <c r="E152" s="3">
        <v>217207.83883899992</v>
      </c>
    </row>
    <row r="153" spans="1:5" x14ac:dyDescent="0.2">
      <c r="A153">
        <v>2023</v>
      </c>
      <c r="B153" t="s">
        <v>139</v>
      </c>
      <c r="C153" t="s">
        <v>142</v>
      </c>
      <c r="D153">
        <v>1</v>
      </c>
      <c r="E153" s="3">
        <v>183663.48762500001</v>
      </c>
    </row>
    <row r="154" spans="1:5" x14ac:dyDescent="0.2">
      <c r="A154">
        <v>2023</v>
      </c>
      <c r="B154" t="s">
        <v>139</v>
      </c>
      <c r="C154" t="s">
        <v>142</v>
      </c>
      <c r="D154">
        <v>2</v>
      </c>
      <c r="E154" s="3">
        <v>182473.829921</v>
      </c>
    </row>
    <row r="155" spans="1:5" x14ac:dyDescent="0.2">
      <c r="A155">
        <v>2023</v>
      </c>
      <c r="B155" t="s">
        <v>139</v>
      </c>
      <c r="C155" t="s">
        <v>142</v>
      </c>
      <c r="D155">
        <v>3</v>
      </c>
      <c r="E155" s="3">
        <v>364872.82570700004</v>
      </c>
    </row>
    <row r="156" spans="1:5" x14ac:dyDescent="0.2">
      <c r="A156">
        <v>2023</v>
      </c>
      <c r="B156" t="s">
        <v>139</v>
      </c>
      <c r="C156" t="s">
        <v>142</v>
      </c>
      <c r="D156">
        <v>4</v>
      </c>
      <c r="E156" s="3">
        <v>363203.52740699996</v>
      </c>
    </row>
    <row r="157" spans="1:5" x14ac:dyDescent="0.2">
      <c r="A157">
        <v>2023</v>
      </c>
      <c r="B157" t="s">
        <v>139</v>
      </c>
      <c r="C157" t="s">
        <v>142</v>
      </c>
      <c r="D157">
        <v>5</v>
      </c>
      <c r="E157" s="3">
        <v>186257.42293599999</v>
      </c>
    </row>
    <row r="158" spans="1:5" x14ac:dyDescent="0.2">
      <c r="A158">
        <v>2023</v>
      </c>
      <c r="B158" t="s">
        <v>139</v>
      </c>
      <c r="C158" t="s">
        <v>142</v>
      </c>
      <c r="D158">
        <v>6</v>
      </c>
      <c r="E158" s="3">
        <v>188233.59965300001</v>
      </c>
    </row>
    <row r="159" spans="1:5" x14ac:dyDescent="0.2">
      <c r="A159">
        <v>2023</v>
      </c>
      <c r="B159" t="s">
        <v>139</v>
      </c>
      <c r="C159" t="s">
        <v>142</v>
      </c>
      <c r="D159">
        <v>7</v>
      </c>
      <c r="E159" s="3">
        <v>178125.64415000001</v>
      </c>
    </row>
    <row r="160" spans="1:5" x14ac:dyDescent="0.2">
      <c r="A160">
        <v>2023</v>
      </c>
      <c r="B160" t="s">
        <v>139</v>
      </c>
      <c r="C160" t="s">
        <v>142</v>
      </c>
      <c r="D160">
        <v>8</v>
      </c>
      <c r="E160" s="3">
        <v>189075.13619300013</v>
      </c>
    </row>
    <row r="161" spans="1:5" x14ac:dyDescent="0.2">
      <c r="A161">
        <v>2023</v>
      </c>
      <c r="B161" t="s">
        <v>139</v>
      </c>
      <c r="C161" t="s">
        <v>142</v>
      </c>
      <c r="D161">
        <v>9</v>
      </c>
      <c r="E161" s="3">
        <v>193673.60469999997</v>
      </c>
    </row>
    <row r="162" spans="1:5" x14ac:dyDescent="0.2">
      <c r="A162">
        <v>2023</v>
      </c>
      <c r="B162" t="s">
        <v>139</v>
      </c>
      <c r="C162" t="s">
        <v>142</v>
      </c>
      <c r="D162">
        <v>10</v>
      </c>
      <c r="E162" s="3">
        <v>471990.12491400051</v>
      </c>
    </row>
    <row r="163" spans="1:5" x14ac:dyDescent="0.2">
      <c r="A163">
        <v>2023</v>
      </c>
      <c r="B163" t="s">
        <v>139</v>
      </c>
      <c r="C163" t="s">
        <v>142</v>
      </c>
      <c r="D163">
        <v>11</v>
      </c>
      <c r="E163" s="3">
        <v>369419.67333600007</v>
      </c>
    </row>
    <row r="164" spans="1:5" x14ac:dyDescent="0.2">
      <c r="A164">
        <v>2023</v>
      </c>
      <c r="B164" t="s">
        <v>139</v>
      </c>
      <c r="C164" t="s">
        <v>142</v>
      </c>
      <c r="D164">
        <v>12</v>
      </c>
      <c r="E164" s="3">
        <v>177576.79078200008</v>
      </c>
    </row>
    <row r="165" spans="1:5" x14ac:dyDescent="0.2">
      <c r="A165">
        <v>2023</v>
      </c>
      <c r="B165" t="s">
        <v>139</v>
      </c>
      <c r="C165" t="s">
        <v>142</v>
      </c>
      <c r="D165">
        <v>13</v>
      </c>
      <c r="E165" s="3">
        <v>189360.02759999997</v>
      </c>
    </row>
    <row r="166" spans="1:5" x14ac:dyDescent="0.2">
      <c r="A166">
        <v>2023</v>
      </c>
      <c r="B166" t="s">
        <v>139</v>
      </c>
      <c r="C166" t="s">
        <v>142</v>
      </c>
      <c r="D166">
        <v>14</v>
      </c>
      <c r="E166" s="3">
        <v>185941.423668</v>
      </c>
    </row>
    <row r="167" spans="1:5" x14ac:dyDescent="0.2">
      <c r="A167">
        <v>2023</v>
      </c>
      <c r="B167" t="s">
        <v>139</v>
      </c>
      <c r="C167" t="s">
        <v>142</v>
      </c>
      <c r="D167">
        <v>15</v>
      </c>
      <c r="E167" s="3">
        <v>186774.00960000002</v>
      </c>
    </row>
    <row r="168" spans="1:5" x14ac:dyDescent="0.2">
      <c r="A168">
        <v>2023</v>
      </c>
      <c r="B168" t="s">
        <v>139</v>
      </c>
      <c r="C168" t="s">
        <v>142</v>
      </c>
      <c r="D168">
        <v>16</v>
      </c>
      <c r="E168" s="3">
        <v>187264.43550000002</v>
      </c>
    </row>
    <row r="169" spans="1:5" x14ac:dyDescent="0.2">
      <c r="A169">
        <v>2023</v>
      </c>
      <c r="B169" t="s">
        <v>139</v>
      </c>
      <c r="C169" t="s">
        <v>142</v>
      </c>
      <c r="D169">
        <v>17</v>
      </c>
      <c r="E169" s="3">
        <v>356412.40434999997</v>
      </c>
    </row>
    <row r="170" spans="1:5" x14ac:dyDescent="0.2">
      <c r="A170">
        <v>2023</v>
      </c>
      <c r="B170" t="s">
        <v>139</v>
      </c>
      <c r="C170" t="s">
        <v>142</v>
      </c>
      <c r="D170">
        <v>18</v>
      </c>
      <c r="E170" s="3">
        <v>361887.56430000009</v>
      </c>
    </row>
    <row r="171" spans="1:5" x14ac:dyDescent="0.2">
      <c r="A171">
        <v>2023</v>
      </c>
      <c r="B171" t="s">
        <v>139</v>
      </c>
      <c r="C171" t="s">
        <v>142</v>
      </c>
      <c r="D171">
        <v>19</v>
      </c>
      <c r="E171" s="3">
        <v>185010.20950000003</v>
      </c>
    </row>
    <row r="172" spans="1:5" x14ac:dyDescent="0.2">
      <c r="A172">
        <v>2023</v>
      </c>
      <c r="B172" t="s">
        <v>139</v>
      </c>
      <c r="C172" t="s">
        <v>142</v>
      </c>
      <c r="D172">
        <v>20</v>
      </c>
      <c r="E172" s="3">
        <v>176654.51639999993</v>
      </c>
    </row>
    <row r="173" spans="1:5" x14ac:dyDescent="0.2">
      <c r="A173">
        <v>2023</v>
      </c>
      <c r="B173" t="s">
        <v>139</v>
      </c>
      <c r="C173" t="s">
        <v>142</v>
      </c>
      <c r="D173">
        <v>21</v>
      </c>
      <c r="E173" s="3">
        <v>183103.19435000003</v>
      </c>
    </row>
    <row r="174" spans="1:5" x14ac:dyDescent="0.2">
      <c r="A174">
        <v>2023</v>
      </c>
      <c r="B174" t="s">
        <v>139</v>
      </c>
      <c r="C174" t="s">
        <v>142</v>
      </c>
      <c r="D174">
        <v>22</v>
      </c>
      <c r="E174" s="3">
        <v>239848.75265000036</v>
      </c>
    </row>
    <row r="175" spans="1:5" x14ac:dyDescent="0.2">
      <c r="A175">
        <v>2023</v>
      </c>
      <c r="B175" t="s">
        <v>139</v>
      </c>
      <c r="C175" t="s">
        <v>142</v>
      </c>
      <c r="D175">
        <v>23</v>
      </c>
      <c r="E175" s="3">
        <v>190216.6017</v>
      </c>
    </row>
    <row r="176" spans="1:5" x14ac:dyDescent="0.2">
      <c r="A176">
        <v>2023</v>
      </c>
      <c r="B176" t="s">
        <v>139</v>
      </c>
      <c r="C176" t="s">
        <v>142</v>
      </c>
      <c r="D176">
        <v>24</v>
      </c>
      <c r="E176" s="3">
        <v>367593.96460000012</v>
      </c>
    </row>
    <row r="177" spans="1:5" x14ac:dyDescent="0.2">
      <c r="A177">
        <v>2023</v>
      </c>
      <c r="B177" t="s">
        <v>139</v>
      </c>
      <c r="C177" t="s">
        <v>142</v>
      </c>
      <c r="D177">
        <v>25</v>
      </c>
      <c r="E177" s="3">
        <v>363298.10230000009</v>
      </c>
    </row>
    <row r="178" spans="1:5" x14ac:dyDescent="0.2">
      <c r="A178">
        <v>2023</v>
      </c>
      <c r="B178" t="s">
        <v>139</v>
      </c>
      <c r="C178" t="s">
        <v>142</v>
      </c>
      <c r="D178">
        <v>26</v>
      </c>
      <c r="E178" s="3">
        <v>184838.63434999995</v>
      </c>
    </row>
    <row r="179" spans="1:5" x14ac:dyDescent="0.2">
      <c r="A179">
        <v>2023</v>
      </c>
      <c r="B179" t="s">
        <v>139</v>
      </c>
      <c r="C179" t="s">
        <v>142</v>
      </c>
      <c r="D179">
        <v>27</v>
      </c>
      <c r="E179" s="3">
        <v>186160.26124999998</v>
      </c>
    </row>
    <row r="180" spans="1:5" x14ac:dyDescent="0.2">
      <c r="A180">
        <v>2023</v>
      </c>
      <c r="B180" t="s">
        <v>139</v>
      </c>
      <c r="C180" t="s">
        <v>142</v>
      </c>
      <c r="D180">
        <v>28</v>
      </c>
      <c r="E180" s="3">
        <v>185771.35415000009</v>
      </c>
    </row>
    <row r="181" spans="1:5" x14ac:dyDescent="0.2">
      <c r="A181">
        <v>2023</v>
      </c>
      <c r="B181" t="s">
        <v>139</v>
      </c>
      <c r="C181" t="s">
        <v>142</v>
      </c>
      <c r="D181">
        <v>29</v>
      </c>
      <c r="E181" s="3">
        <v>186054.11675000002</v>
      </c>
    </row>
    <row r="182" spans="1:5" x14ac:dyDescent="0.2">
      <c r="A182">
        <v>2023</v>
      </c>
      <c r="B182" t="s">
        <v>139</v>
      </c>
      <c r="C182" t="s">
        <v>142</v>
      </c>
      <c r="D182">
        <v>30</v>
      </c>
      <c r="E182" s="3">
        <v>175931.02569999997</v>
      </c>
    </row>
    <row r="183" spans="1:5" x14ac:dyDescent="0.2">
      <c r="A183">
        <v>2023</v>
      </c>
      <c r="B183" t="s">
        <v>143</v>
      </c>
      <c r="C183" t="s">
        <v>144</v>
      </c>
      <c r="D183">
        <v>1</v>
      </c>
      <c r="E183" s="3">
        <v>337269.63386999996</v>
      </c>
    </row>
    <row r="184" spans="1:5" x14ac:dyDescent="0.2">
      <c r="A184">
        <v>2023</v>
      </c>
      <c r="B184" t="s">
        <v>143</v>
      </c>
      <c r="C184" t="s">
        <v>144</v>
      </c>
      <c r="D184">
        <v>2</v>
      </c>
      <c r="E184" s="3">
        <v>359847.06916499994</v>
      </c>
    </row>
    <row r="185" spans="1:5" x14ac:dyDescent="0.2">
      <c r="A185">
        <v>2023</v>
      </c>
      <c r="B185" t="s">
        <v>143</v>
      </c>
      <c r="C185" t="s">
        <v>144</v>
      </c>
      <c r="D185">
        <v>3</v>
      </c>
      <c r="E185" s="3">
        <v>167801.72072999988</v>
      </c>
    </row>
    <row r="186" spans="1:5" x14ac:dyDescent="0.2">
      <c r="A186">
        <v>2023</v>
      </c>
      <c r="B186" t="s">
        <v>143</v>
      </c>
      <c r="C186" t="s">
        <v>144</v>
      </c>
      <c r="D186">
        <v>4</v>
      </c>
      <c r="E186" s="3">
        <v>238922.06693499992</v>
      </c>
    </row>
    <row r="187" spans="1:5" x14ac:dyDescent="0.2">
      <c r="A187">
        <v>2023</v>
      </c>
      <c r="B187" t="s">
        <v>143</v>
      </c>
      <c r="C187" t="s">
        <v>144</v>
      </c>
      <c r="D187">
        <v>5</v>
      </c>
      <c r="E187" s="3">
        <v>169891.55734499986</v>
      </c>
    </row>
    <row r="188" spans="1:5" x14ac:dyDescent="0.2">
      <c r="A188">
        <v>2023</v>
      </c>
      <c r="B188" t="s">
        <v>143</v>
      </c>
      <c r="C188" t="s">
        <v>144</v>
      </c>
      <c r="D188">
        <v>6</v>
      </c>
      <c r="E188" s="3">
        <v>172107.94553999996</v>
      </c>
    </row>
    <row r="189" spans="1:5" x14ac:dyDescent="0.2">
      <c r="A189">
        <v>2023</v>
      </c>
      <c r="B189" t="s">
        <v>143</v>
      </c>
      <c r="C189" t="s">
        <v>144</v>
      </c>
      <c r="D189">
        <v>7</v>
      </c>
      <c r="E189" s="3">
        <v>166150.94379999989</v>
      </c>
    </row>
    <row r="190" spans="1:5" x14ac:dyDescent="0.2">
      <c r="A190">
        <v>2023</v>
      </c>
      <c r="B190" t="s">
        <v>143</v>
      </c>
      <c r="C190" t="s">
        <v>144</v>
      </c>
      <c r="D190">
        <v>8</v>
      </c>
      <c r="E190" s="3">
        <v>343057.04792999983</v>
      </c>
    </row>
    <row r="191" spans="1:5" x14ac:dyDescent="0.2">
      <c r="A191">
        <v>2023</v>
      </c>
      <c r="B191" t="s">
        <v>143</v>
      </c>
      <c r="C191" t="s">
        <v>144</v>
      </c>
      <c r="D191">
        <v>9</v>
      </c>
      <c r="E191" s="3">
        <v>347494.20448999974</v>
      </c>
    </row>
    <row r="192" spans="1:5" x14ac:dyDescent="0.2">
      <c r="A192">
        <v>2023</v>
      </c>
      <c r="B192" t="s">
        <v>143</v>
      </c>
      <c r="C192" t="s">
        <v>144</v>
      </c>
      <c r="D192">
        <v>10</v>
      </c>
      <c r="E192" s="3">
        <v>178533.45733999991</v>
      </c>
    </row>
    <row r="193" spans="1:5" x14ac:dyDescent="0.2">
      <c r="A193">
        <v>2023</v>
      </c>
      <c r="B193" t="s">
        <v>143</v>
      </c>
      <c r="C193" t="s">
        <v>144</v>
      </c>
      <c r="D193">
        <v>11</v>
      </c>
      <c r="E193" s="3">
        <v>175442.1343249999</v>
      </c>
    </row>
    <row r="194" spans="1:5" x14ac:dyDescent="0.2">
      <c r="A194">
        <v>2023</v>
      </c>
      <c r="B194" t="s">
        <v>143</v>
      </c>
      <c r="C194" t="s">
        <v>144</v>
      </c>
      <c r="D194">
        <v>12</v>
      </c>
      <c r="E194" s="3">
        <v>167342.60650999987</v>
      </c>
    </row>
    <row r="195" spans="1:5" x14ac:dyDescent="0.2">
      <c r="A195">
        <v>2023</v>
      </c>
      <c r="B195" t="s">
        <v>143</v>
      </c>
      <c r="C195" t="s">
        <v>144</v>
      </c>
      <c r="D195">
        <v>13</v>
      </c>
      <c r="E195" s="3">
        <v>176120.56006999995</v>
      </c>
    </row>
    <row r="196" spans="1:5" x14ac:dyDescent="0.2">
      <c r="A196">
        <v>2023</v>
      </c>
      <c r="B196" t="s">
        <v>143</v>
      </c>
      <c r="C196" t="s">
        <v>144</v>
      </c>
      <c r="D196">
        <v>14</v>
      </c>
      <c r="E196" s="3">
        <v>207288.00724499996</v>
      </c>
    </row>
    <row r="197" spans="1:5" x14ac:dyDescent="0.2">
      <c r="A197">
        <v>2023</v>
      </c>
      <c r="B197" t="s">
        <v>143</v>
      </c>
      <c r="C197" t="s">
        <v>144</v>
      </c>
      <c r="D197">
        <v>15</v>
      </c>
      <c r="E197" s="3">
        <v>336157.32655499986</v>
      </c>
    </row>
    <row r="198" spans="1:5" x14ac:dyDescent="0.2">
      <c r="A198">
        <v>2023</v>
      </c>
      <c r="B198" t="s">
        <v>143</v>
      </c>
      <c r="C198" t="s">
        <v>144</v>
      </c>
      <c r="D198">
        <v>16</v>
      </c>
      <c r="E198" s="3">
        <v>334510.12580999994</v>
      </c>
    </row>
    <row r="199" spans="1:5" x14ac:dyDescent="0.2">
      <c r="A199">
        <v>2023</v>
      </c>
      <c r="B199" t="s">
        <v>143</v>
      </c>
      <c r="C199" t="s">
        <v>144</v>
      </c>
      <c r="D199">
        <v>17</v>
      </c>
      <c r="E199" s="3">
        <v>177988.48006499995</v>
      </c>
    </row>
    <row r="200" spans="1:5" x14ac:dyDescent="0.2">
      <c r="A200">
        <v>2023</v>
      </c>
      <c r="B200" t="s">
        <v>143</v>
      </c>
      <c r="C200" t="s">
        <v>144</v>
      </c>
      <c r="D200">
        <v>18</v>
      </c>
      <c r="E200" s="3">
        <v>173717.57372999995</v>
      </c>
    </row>
    <row r="201" spans="1:5" x14ac:dyDescent="0.2">
      <c r="A201">
        <v>2023</v>
      </c>
      <c r="B201" t="s">
        <v>143</v>
      </c>
      <c r="C201" t="s">
        <v>144</v>
      </c>
      <c r="D201">
        <v>19</v>
      </c>
      <c r="E201" s="3">
        <v>170474.20212999987</v>
      </c>
    </row>
    <row r="202" spans="1:5" x14ac:dyDescent="0.2">
      <c r="A202">
        <v>2023</v>
      </c>
      <c r="B202" t="s">
        <v>143</v>
      </c>
      <c r="C202" t="s">
        <v>144</v>
      </c>
      <c r="D202">
        <v>20</v>
      </c>
      <c r="E202" s="3">
        <v>173014.40830499996</v>
      </c>
    </row>
    <row r="203" spans="1:5" x14ac:dyDescent="0.2">
      <c r="A203">
        <v>2023</v>
      </c>
      <c r="B203" t="s">
        <v>143</v>
      </c>
      <c r="C203" t="s">
        <v>144</v>
      </c>
      <c r="D203">
        <v>21</v>
      </c>
      <c r="E203" s="3">
        <v>174425.33611999993</v>
      </c>
    </row>
    <row r="204" spans="1:5" x14ac:dyDescent="0.2">
      <c r="A204">
        <v>2023</v>
      </c>
      <c r="B204" t="s">
        <v>143</v>
      </c>
      <c r="C204" t="s">
        <v>144</v>
      </c>
      <c r="D204">
        <v>22</v>
      </c>
      <c r="E204" s="3">
        <v>346234.04168500006</v>
      </c>
    </row>
    <row r="205" spans="1:5" x14ac:dyDescent="0.2">
      <c r="A205">
        <v>2023</v>
      </c>
      <c r="B205" t="s">
        <v>143</v>
      </c>
      <c r="C205" t="s">
        <v>144</v>
      </c>
      <c r="D205">
        <v>23</v>
      </c>
      <c r="E205" s="3">
        <v>342487.97515000001</v>
      </c>
    </row>
    <row r="206" spans="1:5" x14ac:dyDescent="0.2">
      <c r="A206">
        <v>2023</v>
      </c>
      <c r="B206" t="s">
        <v>143</v>
      </c>
      <c r="C206" t="s">
        <v>144</v>
      </c>
      <c r="D206">
        <v>24</v>
      </c>
      <c r="E206" s="3">
        <v>174972.19045499986</v>
      </c>
    </row>
    <row r="207" spans="1:5" x14ac:dyDescent="0.2">
      <c r="A207">
        <v>2023</v>
      </c>
      <c r="B207" t="s">
        <v>143</v>
      </c>
      <c r="C207" t="s">
        <v>144</v>
      </c>
      <c r="D207">
        <v>25</v>
      </c>
      <c r="E207" s="3">
        <v>171959.8217599999</v>
      </c>
    </row>
    <row r="208" spans="1:5" x14ac:dyDescent="0.2">
      <c r="A208">
        <v>2023</v>
      </c>
      <c r="B208" t="s">
        <v>143</v>
      </c>
      <c r="C208" t="s">
        <v>144</v>
      </c>
      <c r="D208">
        <v>26</v>
      </c>
      <c r="E208" s="3">
        <v>167739.6098049999</v>
      </c>
    </row>
    <row r="209" spans="1:5" x14ac:dyDescent="0.2">
      <c r="A209">
        <v>2023</v>
      </c>
      <c r="B209" t="s">
        <v>143</v>
      </c>
      <c r="C209" t="s">
        <v>144</v>
      </c>
      <c r="D209">
        <v>27</v>
      </c>
      <c r="E209" s="3">
        <v>174994.97064499991</v>
      </c>
    </row>
    <row r="210" spans="1:5" x14ac:dyDescent="0.2">
      <c r="A210">
        <v>2023</v>
      </c>
      <c r="B210" t="s">
        <v>143</v>
      </c>
      <c r="C210" t="s">
        <v>144</v>
      </c>
      <c r="D210">
        <v>28</v>
      </c>
      <c r="E210" s="3">
        <v>173016.45461500002</v>
      </c>
    </row>
    <row r="211" spans="1:5" x14ac:dyDescent="0.2">
      <c r="A211">
        <v>2023</v>
      </c>
      <c r="B211" t="s">
        <v>143</v>
      </c>
      <c r="C211" t="s">
        <v>144</v>
      </c>
      <c r="D211">
        <v>29</v>
      </c>
      <c r="E211" s="3">
        <v>351825.33480499976</v>
      </c>
    </row>
    <row r="212" spans="1:5" x14ac:dyDescent="0.2">
      <c r="A212">
        <v>2023</v>
      </c>
      <c r="B212" t="s">
        <v>143</v>
      </c>
      <c r="C212" t="s">
        <v>144</v>
      </c>
      <c r="D212">
        <v>30</v>
      </c>
      <c r="E212" s="3">
        <v>344044.75151499966</v>
      </c>
    </row>
    <row r="213" spans="1:5" x14ac:dyDescent="0.2">
      <c r="A213">
        <v>2023</v>
      </c>
      <c r="B213" t="s">
        <v>143</v>
      </c>
      <c r="C213" t="s">
        <v>144</v>
      </c>
      <c r="D213">
        <v>31</v>
      </c>
      <c r="E213" s="3">
        <v>186466.65217499997</v>
      </c>
    </row>
    <row r="214" spans="1:5" x14ac:dyDescent="0.2">
      <c r="A214">
        <v>2023</v>
      </c>
      <c r="B214" t="s">
        <v>143</v>
      </c>
      <c r="C214" t="s">
        <v>145</v>
      </c>
      <c r="D214">
        <v>1</v>
      </c>
      <c r="E214" s="3">
        <v>158830.75659999994</v>
      </c>
    </row>
    <row r="215" spans="1:5" x14ac:dyDescent="0.2">
      <c r="A215">
        <v>2023</v>
      </c>
      <c r="B215" t="s">
        <v>143</v>
      </c>
      <c r="C215" t="s">
        <v>145</v>
      </c>
      <c r="D215">
        <v>2</v>
      </c>
      <c r="E215" s="3">
        <v>156866.6431349999</v>
      </c>
    </row>
    <row r="216" spans="1:5" x14ac:dyDescent="0.2">
      <c r="A216">
        <v>2023</v>
      </c>
      <c r="B216" t="s">
        <v>143</v>
      </c>
      <c r="C216" t="s">
        <v>145</v>
      </c>
      <c r="D216">
        <v>3</v>
      </c>
      <c r="E216" s="3">
        <v>155319.09711999987</v>
      </c>
    </row>
    <row r="217" spans="1:5" x14ac:dyDescent="0.2">
      <c r="A217">
        <v>2023</v>
      </c>
      <c r="B217" t="s">
        <v>143</v>
      </c>
      <c r="C217" t="s">
        <v>145</v>
      </c>
      <c r="D217">
        <v>4</v>
      </c>
      <c r="E217" s="3">
        <v>152772.16805499996</v>
      </c>
    </row>
    <row r="218" spans="1:5" x14ac:dyDescent="0.2">
      <c r="A218">
        <v>2023</v>
      </c>
      <c r="B218" t="s">
        <v>143</v>
      </c>
      <c r="C218" t="s">
        <v>145</v>
      </c>
      <c r="D218">
        <v>5</v>
      </c>
      <c r="E218" s="3">
        <v>325394.05913999991</v>
      </c>
    </row>
    <row r="219" spans="1:5" x14ac:dyDescent="0.2">
      <c r="A219">
        <v>2023</v>
      </c>
      <c r="B219" t="s">
        <v>143</v>
      </c>
      <c r="C219" t="s">
        <v>145</v>
      </c>
      <c r="D219">
        <v>6</v>
      </c>
      <c r="E219" s="3">
        <v>321951.66772499989</v>
      </c>
    </row>
    <row r="220" spans="1:5" x14ac:dyDescent="0.2">
      <c r="A220">
        <v>2023</v>
      </c>
      <c r="B220" t="s">
        <v>143</v>
      </c>
      <c r="C220" t="s">
        <v>145</v>
      </c>
      <c r="D220">
        <v>7</v>
      </c>
      <c r="E220" s="3">
        <v>159603.99538999991</v>
      </c>
    </row>
    <row r="221" spans="1:5" x14ac:dyDescent="0.2">
      <c r="A221">
        <v>2023</v>
      </c>
      <c r="B221" t="s">
        <v>143</v>
      </c>
      <c r="C221" t="s">
        <v>145</v>
      </c>
      <c r="D221">
        <v>8</v>
      </c>
      <c r="E221" s="3">
        <v>159673.25903499994</v>
      </c>
    </row>
    <row r="222" spans="1:5" x14ac:dyDescent="0.2">
      <c r="A222">
        <v>2023</v>
      </c>
      <c r="B222" t="s">
        <v>143</v>
      </c>
      <c r="C222" t="s">
        <v>145</v>
      </c>
      <c r="D222">
        <v>9</v>
      </c>
      <c r="E222" s="3">
        <v>163282.75697999992</v>
      </c>
    </row>
    <row r="223" spans="1:5" x14ac:dyDescent="0.2">
      <c r="A223">
        <v>2023</v>
      </c>
      <c r="B223" t="s">
        <v>143</v>
      </c>
      <c r="C223" t="s">
        <v>145</v>
      </c>
      <c r="D223">
        <v>10</v>
      </c>
      <c r="E223" s="3">
        <v>166600.2420749999</v>
      </c>
    </row>
    <row r="224" spans="1:5" x14ac:dyDescent="0.2">
      <c r="A224">
        <v>2023</v>
      </c>
      <c r="B224" t="s">
        <v>143</v>
      </c>
      <c r="C224" t="s">
        <v>145</v>
      </c>
      <c r="D224">
        <v>11</v>
      </c>
      <c r="E224" s="3">
        <v>159009.15680999996</v>
      </c>
    </row>
    <row r="225" spans="1:5" x14ac:dyDescent="0.2">
      <c r="A225">
        <v>2023</v>
      </c>
      <c r="B225" t="s">
        <v>143</v>
      </c>
      <c r="C225" t="s">
        <v>145</v>
      </c>
      <c r="D225">
        <v>12</v>
      </c>
      <c r="E225" s="3">
        <v>325743.04584499984</v>
      </c>
    </row>
    <row r="226" spans="1:5" x14ac:dyDescent="0.2">
      <c r="A226">
        <v>2023</v>
      </c>
      <c r="B226" t="s">
        <v>143</v>
      </c>
      <c r="C226" t="s">
        <v>145</v>
      </c>
      <c r="D226">
        <v>13</v>
      </c>
      <c r="E226" s="3">
        <v>316525.48352999985</v>
      </c>
    </row>
    <row r="227" spans="1:5" x14ac:dyDescent="0.2">
      <c r="A227">
        <v>2023</v>
      </c>
      <c r="B227" t="s">
        <v>143</v>
      </c>
      <c r="C227" t="s">
        <v>145</v>
      </c>
      <c r="D227">
        <v>14</v>
      </c>
      <c r="E227" s="3">
        <v>157095.30207999985</v>
      </c>
    </row>
    <row r="228" spans="1:5" x14ac:dyDescent="0.2">
      <c r="A228">
        <v>2023</v>
      </c>
      <c r="B228" t="s">
        <v>143</v>
      </c>
      <c r="C228" t="s">
        <v>145</v>
      </c>
      <c r="D228">
        <v>15</v>
      </c>
      <c r="E228" s="3">
        <v>217712.66087999998</v>
      </c>
    </row>
    <row r="229" spans="1:5" x14ac:dyDescent="0.2">
      <c r="A229">
        <v>2023</v>
      </c>
      <c r="B229" t="s">
        <v>143</v>
      </c>
      <c r="C229" t="s">
        <v>145</v>
      </c>
      <c r="D229">
        <v>16</v>
      </c>
      <c r="E229" s="3">
        <v>156893.02490499988</v>
      </c>
    </row>
    <row r="230" spans="1:5" x14ac:dyDescent="0.2">
      <c r="A230">
        <v>2023</v>
      </c>
      <c r="B230" t="s">
        <v>143</v>
      </c>
      <c r="C230" t="s">
        <v>145</v>
      </c>
      <c r="D230">
        <v>17</v>
      </c>
      <c r="E230" s="3">
        <v>163167.98867499985</v>
      </c>
    </row>
    <row r="231" spans="1:5" x14ac:dyDescent="0.2">
      <c r="A231">
        <v>2023</v>
      </c>
      <c r="B231" t="s">
        <v>143</v>
      </c>
      <c r="C231" t="s">
        <v>145</v>
      </c>
      <c r="D231">
        <v>18</v>
      </c>
      <c r="E231" s="3">
        <v>153372.38731000002</v>
      </c>
    </row>
    <row r="232" spans="1:5" x14ac:dyDescent="0.2">
      <c r="A232">
        <v>2023</v>
      </c>
      <c r="B232" t="s">
        <v>143</v>
      </c>
      <c r="C232" t="s">
        <v>145</v>
      </c>
      <c r="D232">
        <v>19</v>
      </c>
      <c r="E232" s="3">
        <v>326126.66093499982</v>
      </c>
    </row>
    <row r="233" spans="1:5" x14ac:dyDescent="0.2">
      <c r="A233">
        <v>2023</v>
      </c>
      <c r="B233" t="s">
        <v>143</v>
      </c>
      <c r="C233" t="s">
        <v>145</v>
      </c>
      <c r="D233">
        <v>20</v>
      </c>
      <c r="E233" s="3">
        <v>319369.7042699997</v>
      </c>
    </row>
    <row r="234" spans="1:5" x14ac:dyDescent="0.2">
      <c r="A234">
        <v>2023</v>
      </c>
      <c r="B234" t="s">
        <v>143</v>
      </c>
      <c r="C234" t="s">
        <v>145</v>
      </c>
      <c r="D234">
        <v>21</v>
      </c>
      <c r="E234" s="3">
        <v>160498.02053499987</v>
      </c>
    </row>
    <row r="235" spans="1:5" x14ac:dyDescent="0.2">
      <c r="A235">
        <v>2023</v>
      </c>
      <c r="B235" t="s">
        <v>143</v>
      </c>
      <c r="C235" t="s">
        <v>145</v>
      </c>
      <c r="D235">
        <v>22</v>
      </c>
      <c r="E235" s="3">
        <v>155007.80945499992</v>
      </c>
    </row>
    <row r="236" spans="1:5" x14ac:dyDescent="0.2">
      <c r="A236">
        <v>2023</v>
      </c>
      <c r="B236" t="s">
        <v>143</v>
      </c>
      <c r="C236" t="s">
        <v>145</v>
      </c>
      <c r="D236">
        <v>23</v>
      </c>
      <c r="E236" s="3">
        <v>157210.19842499986</v>
      </c>
    </row>
    <row r="237" spans="1:5" x14ac:dyDescent="0.2">
      <c r="A237">
        <v>2023</v>
      </c>
      <c r="B237" t="s">
        <v>143</v>
      </c>
      <c r="C237" t="s">
        <v>145</v>
      </c>
      <c r="D237">
        <v>24</v>
      </c>
      <c r="E237" s="3">
        <v>161950.99149499991</v>
      </c>
    </row>
    <row r="238" spans="1:5" x14ac:dyDescent="0.2">
      <c r="A238">
        <v>2023</v>
      </c>
      <c r="B238" t="s">
        <v>143</v>
      </c>
      <c r="C238" t="s">
        <v>145</v>
      </c>
      <c r="D238">
        <v>25</v>
      </c>
      <c r="E238" s="3">
        <v>160389.86853999991</v>
      </c>
    </row>
    <row r="239" spans="1:5" x14ac:dyDescent="0.2">
      <c r="A239">
        <v>2023</v>
      </c>
      <c r="B239" t="s">
        <v>143</v>
      </c>
      <c r="C239" t="s">
        <v>145</v>
      </c>
      <c r="D239">
        <v>26</v>
      </c>
      <c r="E239" s="3">
        <v>308356.40860999998</v>
      </c>
    </row>
    <row r="240" spans="1:5" x14ac:dyDescent="0.2">
      <c r="A240">
        <v>2023</v>
      </c>
      <c r="B240" t="s">
        <v>143</v>
      </c>
      <c r="C240" t="s">
        <v>145</v>
      </c>
      <c r="D240">
        <v>27</v>
      </c>
      <c r="E240" s="3">
        <v>306500.86614</v>
      </c>
    </row>
    <row r="241" spans="1:5" x14ac:dyDescent="0.2">
      <c r="A241">
        <v>2023</v>
      </c>
      <c r="B241" t="s">
        <v>143</v>
      </c>
      <c r="C241" t="s">
        <v>145</v>
      </c>
      <c r="D241">
        <v>28</v>
      </c>
      <c r="E241" s="3">
        <v>182129.56675499989</v>
      </c>
    </row>
    <row r="242" spans="1:5" x14ac:dyDescent="0.2">
      <c r="A242">
        <v>2023</v>
      </c>
      <c r="B242" t="s">
        <v>143</v>
      </c>
      <c r="C242" t="s">
        <v>145</v>
      </c>
      <c r="D242">
        <v>29</v>
      </c>
      <c r="E242" s="3">
        <v>153704.95730999994</v>
      </c>
    </row>
    <row r="243" spans="1:5" x14ac:dyDescent="0.2">
      <c r="A243">
        <v>2023</v>
      </c>
      <c r="B243" t="s">
        <v>143</v>
      </c>
      <c r="C243" t="s">
        <v>145</v>
      </c>
      <c r="D243">
        <v>30</v>
      </c>
      <c r="E243" s="3">
        <v>160710.67763999986</v>
      </c>
    </row>
    <row r="244" spans="1:5" x14ac:dyDescent="0.2">
      <c r="A244">
        <v>2023</v>
      </c>
      <c r="B244" t="s">
        <v>143</v>
      </c>
      <c r="C244" t="s">
        <v>145</v>
      </c>
      <c r="D244">
        <v>31</v>
      </c>
      <c r="E244" s="3">
        <v>151208.65846999991</v>
      </c>
    </row>
    <row r="245" spans="1:5" x14ac:dyDescent="0.2">
      <c r="A245">
        <v>2023</v>
      </c>
      <c r="B245" t="s">
        <v>143</v>
      </c>
      <c r="C245" t="s">
        <v>146</v>
      </c>
      <c r="D245">
        <v>1</v>
      </c>
      <c r="E245" s="3">
        <v>383798.02487900015</v>
      </c>
    </row>
    <row r="246" spans="1:5" x14ac:dyDescent="0.2">
      <c r="A246">
        <v>2023</v>
      </c>
      <c r="B246" t="s">
        <v>143</v>
      </c>
      <c r="C246" t="s">
        <v>146</v>
      </c>
      <c r="D246">
        <v>2</v>
      </c>
      <c r="E246" s="3">
        <v>782037.77976799873</v>
      </c>
    </row>
    <row r="247" spans="1:5" x14ac:dyDescent="0.2">
      <c r="A247">
        <v>2023</v>
      </c>
      <c r="B247" t="s">
        <v>143</v>
      </c>
      <c r="C247" t="s">
        <v>146</v>
      </c>
      <c r="D247">
        <v>3</v>
      </c>
      <c r="E247" s="3">
        <v>806952.40481599851</v>
      </c>
    </row>
    <row r="248" spans="1:5" x14ac:dyDescent="0.2">
      <c r="A248">
        <v>2023</v>
      </c>
      <c r="B248" t="s">
        <v>143</v>
      </c>
      <c r="C248" t="s">
        <v>146</v>
      </c>
      <c r="D248">
        <v>4</v>
      </c>
      <c r="E248" s="3">
        <v>577209.20963499672</v>
      </c>
    </row>
    <row r="249" spans="1:5" x14ac:dyDescent="0.2">
      <c r="A249">
        <v>2023</v>
      </c>
      <c r="B249" t="s">
        <v>143</v>
      </c>
      <c r="C249" t="s">
        <v>146</v>
      </c>
      <c r="D249">
        <v>5</v>
      </c>
      <c r="E249" s="3">
        <v>370160.09386000014</v>
      </c>
    </row>
    <row r="250" spans="1:5" x14ac:dyDescent="0.2">
      <c r="A250">
        <v>2023</v>
      </c>
      <c r="B250" t="s">
        <v>143</v>
      </c>
      <c r="C250" t="s">
        <v>146</v>
      </c>
      <c r="D250">
        <v>6</v>
      </c>
      <c r="E250" s="3">
        <v>409039.59929200041</v>
      </c>
    </row>
    <row r="251" spans="1:5" x14ac:dyDescent="0.2">
      <c r="A251">
        <v>2023</v>
      </c>
      <c r="B251" t="s">
        <v>143</v>
      </c>
      <c r="C251" t="s">
        <v>146</v>
      </c>
      <c r="D251">
        <v>7</v>
      </c>
      <c r="E251" s="3">
        <v>385753.05449800007</v>
      </c>
    </row>
    <row r="252" spans="1:5" x14ac:dyDescent="0.2">
      <c r="A252">
        <v>2023</v>
      </c>
      <c r="B252" t="s">
        <v>143</v>
      </c>
      <c r="C252" t="s">
        <v>146</v>
      </c>
      <c r="D252">
        <v>8</v>
      </c>
      <c r="E252" s="3">
        <v>400237.56505400047</v>
      </c>
    </row>
    <row r="253" spans="1:5" x14ac:dyDescent="0.2">
      <c r="A253">
        <v>2023</v>
      </c>
      <c r="B253" t="s">
        <v>143</v>
      </c>
      <c r="C253" t="s">
        <v>146</v>
      </c>
      <c r="D253">
        <v>9</v>
      </c>
      <c r="E253" s="3">
        <v>773022.21025199885</v>
      </c>
    </row>
    <row r="254" spans="1:5" x14ac:dyDescent="0.2">
      <c r="A254">
        <v>2023</v>
      </c>
      <c r="B254" t="s">
        <v>143</v>
      </c>
      <c r="C254" t="s">
        <v>146</v>
      </c>
      <c r="D254">
        <v>10</v>
      </c>
      <c r="E254" s="3">
        <v>758895.04487599898</v>
      </c>
    </row>
    <row r="255" spans="1:5" x14ac:dyDescent="0.2">
      <c r="A255">
        <v>2023</v>
      </c>
      <c r="B255" t="s">
        <v>143</v>
      </c>
      <c r="C255" t="s">
        <v>146</v>
      </c>
      <c r="D255">
        <v>11</v>
      </c>
      <c r="E255" s="3">
        <v>400065.53812900011</v>
      </c>
    </row>
    <row r="256" spans="1:5" x14ac:dyDescent="0.2">
      <c r="A256">
        <v>2023</v>
      </c>
      <c r="B256" t="s">
        <v>143</v>
      </c>
      <c r="C256" t="s">
        <v>146</v>
      </c>
      <c r="D256">
        <v>12</v>
      </c>
      <c r="E256" s="3">
        <v>412269.07077699999</v>
      </c>
    </row>
    <row r="257" spans="1:5" x14ac:dyDescent="0.2">
      <c r="A257">
        <v>2023</v>
      </c>
      <c r="B257" t="s">
        <v>143</v>
      </c>
      <c r="C257" t="s">
        <v>146</v>
      </c>
      <c r="D257">
        <v>13</v>
      </c>
      <c r="E257" s="3">
        <v>379289.6175070001</v>
      </c>
    </row>
    <row r="258" spans="1:5" x14ac:dyDescent="0.2">
      <c r="A258">
        <v>2023</v>
      </c>
      <c r="B258" t="s">
        <v>143</v>
      </c>
      <c r="C258" t="s">
        <v>146</v>
      </c>
      <c r="D258">
        <v>14</v>
      </c>
      <c r="E258" s="3">
        <v>392560.76701600029</v>
      </c>
    </row>
    <row r="259" spans="1:5" x14ac:dyDescent="0.2">
      <c r="A259">
        <v>2023</v>
      </c>
      <c r="B259" t="s">
        <v>143</v>
      </c>
      <c r="C259" t="s">
        <v>146</v>
      </c>
      <c r="D259">
        <v>15</v>
      </c>
      <c r="E259" s="3">
        <v>402933.61848499998</v>
      </c>
    </row>
    <row r="260" spans="1:5" x14ac:dyDescent="0.2">
      <c r="A260">
        <v>2023</v>
      </c>
      <c r="B260" t="s">
        <v>143</v>
      </c>
      <c r="C260" t="s">
        <v>146</v>
      </c>
      <c r="D260">
        <v>16</v>
      </c>
      <c r="E260" s="3">
        <v>604915.33750399982</v>
      </c>
    </row>
    <row r="261" spans="1:5" x14ac:dyDescent="0.2">
      <c r="A261">
        <v>2023</v>
      </c>
      <c r="B261" t="s">
        <v>143</v>
      </c>
      <c r="C261" t="s">
        <v>146</v>
      </c>
      <c r="D261">
        <v>17</v>
      </c>
      <c r="E261" s="3">
        <v>591015.38741000032</v>
      </c>
    </row>
    <row r="262" spans="1:5" x14ac:dyDescent="0.2">
      <c r="A262">
        <v>2023</v>
      </c>
      <c r="B262" t="s">
        <v>143</v>
      </c>
      <c r="C262" t="s">
        <v>146</v>
      </c>
      <c r="D262">
        <v>18</v>
      </c>
      <c r="E262" s="3">
        <v>304539.39025400003</v>
      </c>
    </row>
    <row r="263" spans="1:5" x14ac:dyDescent="0.2">
      <c r="A263">
        <v>2023</v>
      </c>
      <c r="B263" t="s">
        <v>143</v>
      </c>
      <c r="C263" t="s">
        <v>146</v>
      </c>
      <c r="D263">
        <v>19</v>
      </c>
      <c r="E263" s="3">
        <v>303340.36384800007</v>
      </c>
    </row>
    <row r="264" spans="1:5" x14ac:dyDescent="0.2">
      <c r="A264">
        <v>2023</v>
      </c>
      <c r="B264" t="s">
        <v>143</v>
      </c>
      <c r="C264" t="s">
        <v>146</v>
      </c>
      <c r="D264">
        <v>20</v>
      </c>
      <c r="E264" s="3">
        <v>313244.1331149998</v>
      </c>
    </row>
    <row r="265" spans="1:5" x14ac:dyDescent="0.2">
      <c r="A265">
        <v>2023</v>
      </c>
      <c r="B265" t="s">
        <v>143</v>
      </c>
      <c r="C265" t="s">
        <v>146</v>
      </c>
      <c r="D265">
        <v>21</v>
      </c>
      <c r="E265" s="3">
        <v>312079.69252400007</v>
      </c>
    </row>
    <row r="266" spans="1:5" x14ac:dyDescent="0.2">
      <c r="A266">
        <v>2023</v>
      </c>
      <c r="B266" t="s">
        <v>143</v>
      </c>
      <c r="C266" t="s">
        <v>146</v>
      </c>
      <c r="D266">
        <v>22</v>
      </c>
      <c r="E266" s="3">
        <v>318235.24680099986</v>
      </c>
    </row>
    <row r="267" spans="1:5" x14ac:dyDescent="0.2">
      <c r="A267">
        <v>2023</v>
      </c>
      <c r="B267" t="s">
        <v>143</v>
      </c>
      <c r="C267" t="s">
        <v>146</v>
      </c>
      <c r="D267">
        <v>23</v>
      </c>
      <c r="E267" s="3">
        <v>621212.6103160003</v>
      </c>
    </row>
    <row r="268" spans="1:5" x14ac:dyDescent="0.2">
      <c r="A268">
        <v>2023</v>
      </c>
      <c r="B268" t="s">
        <v>143</v>
      </c>
      <c r="C268" t="s">
        <v>146</v>
      </c>
      <c r="D268">
        <v>24</v>
      </c>
      <c r="E268" s="3">
        <v>608820.45479999972</v>
      </c>
    </row>
    <row r="269" spans="1:5" x14ac:dyDescent="0.2">
      <c r="A269">
        <v>2023</v>
      </c>
      <c r="B269" t="s">
        <v>143</v>
      </c>
      <c r="C269" t="s">
        <v>146</v>
      </c>
      <c r="D269">
        <v>25</v>
      </c>
      <c r="E269" s="3">
        <v>305518.43944900006</v>
      </c>
    </row>
    <row r="270" spans="1:5" x14ac:dyDescent="0.2">
      <c r="A270">
        <v>2023</v>
      </c>
      <c r="B270" t="s">
        <v>143</v>
      </c>
      <c r="C270" t="s">
        <v>146</v>
      </c>
      <c r="D270">
        <v>26</v>
      </c>
      <c r="E270" s="3">
        <v>301920.10122299998</v>
      </c>
    </row>
    <row r="271" spans="1:5" x14ac:dyDescent="0.2">
      <c r="A271">
        <v>2023</v>
      </c>
      <c r="B271" t="s">
        <v>143</v>
      </c>
      <c r="C271" t="s">
        <v>146</v>
      </c>
      <c r="D271">
        <v>27</v>
      </c>
      <c r="E271" s="3">
        <v>307652.15058199974</v>
      </c>
    </row>
    <row r="272" spans="1:5" x14ac:dyDescent="0.2">
      <c r="A272">
        <v>2023</v>
      </c>
      <c r="B272" t="s">
        <v>143</v>
      </c>
      <c r="C272" t="s">
        <v>146</v>
      </c>
      <c r="D272">
        <v>28</v>
      </c>
      <c r="E272" s="3">
        <v>313809.00272400002</v>
      </c>
    </row>
    <row r="273" spans="1:5" x14ac:dyDescent="0.2">
      <c r="A273">
        <v>2023</v>
      </c>
      <c r="B273" t="s">
        <v>143</v>
      </c>
      <c r="C273" t="s">
        <v>146</v>
      </c>
      <c r="D273">
        <v>29</v>
      </c>
      <c r="E273" s="3">
        <v>427212.23983299965</v>
      </c>
    </row>
    <row r="274" spans="1:5" x14ac:dyDescent="0.2">
      <c r="A274">
        <v>2023</v>
      </c>
      <c r="B274" t="s">
        <v>143</v>
      </c>
      <c r="C274" t="s">
        <v>146</v>
      </c>
      <c r="D274">
        <v>30</v>
      </c>
      <c r="E274" s="3">
        <v>612333.28860999993</v>
      </c>
    </row>
    <row r="275" spans="1:5" x14ac:dyDescent="0.2">
      <c r="A275">
        <v>2023</v>
      </c>
      <c r="B275" t="s">
        <v>147</v>
      </c>
      <c r="C275" t="s">
        <v>148</v>
      </c>
      <c r="D275">
        <v>1</v>
      </c>
      <c r="E275" s="3">
        <v>1026845.6820119979</v>
      </c>
    </row>
    <row r="276" spans="1:5" x14ac:dyDescent="0.2">
      <c r="A276">
        <v>2023</v>
      </c>
      <c r="B276" t="s">
        <v>147</v>
      </c>
      <c r="C276" t="s">
        <v>148</v>
      </c>
      <c r="D276">
        <v>2</v>
      </c>
      <c r="E276" s="3">
        <v>513970.35593099945</v>
      </c>
    </row>
    <row r="277" spans="1:5" x14ac:dyDescent="0.2">
      <c r="A277">
        <v>2023</v>
      </c>
      <c r="B277" t="s">
        <v>147</v>
      </c>
      <c r="C277" t="s">
        <v>148</v>
      </c>
      <c r="D277">
        <v>3</v>
      </c>
      <c r="E277" s="3">
        <v>593368.30563399917</v>
      </c>
    </row>
    <row r="278" spans="1:5" x14ac:dyDescent="0.2">
      <c r="A278">
        <v>2023</v>
      </c>
      <c r="B278" t="s">
        <v>147</v>
      </c>
      <c r="C278" t="s">
        <v>148</v>
      </c>
      <c r="D278">
        <v>4</v>
      </c>
      <c r="E278" s="3">
        <v>359049.90328299964</v>
      </c>
    </row>
    <row r="279" spans="1:5" x14ac:dyDescent="0.2">
      <c r="A279">
        <v>2023</v>
      </c>
      <c r="B279" t="s">
        <v>147</v>
      </c>
      <c r="C279" t="s">
        <v>148</v>
      </c>
      <c r="D279">
        <v>5</v>
      </c>
      <c r="E279" s="3">
        <v>479191.85758899874</v>
      </c>
    </row>
    <row r="280" spans="1:5" x14ac:dyDescent="0.2">
      <c r="A280">
        <v>2023</v>
      </c>
      <c r="B280" t="s">
        <v>147</v>
      </c>
      <c r="C280" t="s">
        <v>148</v>
      </c>
      <c r="D280">
        <v>6</v>
      </c>
      <c r="E280" s="3">
        <v>382708.75843899965</v>
      </c>
    </row>
    <row r="281" spans="1:5" x14ac:dyDescent="0.2">
      <c r="A281">
        <v>2023</v>
      </c>
      <c r="B281" t="s">
        <v>147</v>
      </c>
      <c r="C281" t="s">
        <v>148</v>
      </c>
      <c r="D281">
        <v>7</v>
      </c>
      <c r="E281" s="3">
        <v>754914.09644999728</v>
      </c>
    </row>
    <row r="282" spans="1:5" x14ac:dyDescent="0.2">
      <c r="A282">
        <v>2023</v>
      </c>
      <c r="B282" t="s">
        <v>147</v>
      </c>
      <c r="C282" t="s">
        <v>148</v>
      </c>
      <c r="D282">
        <v>8</v>
      </c>
      <c r="E282" s="3">
        <v>714150.02506499703</v>
      </c>
    </row>
    <row r="283" spans="1:5" x14ac:dyDescent="0.2">
      <c r="A283">
        <v>2023</v>
      </c>
      <c r="B283" t="s">
        <v>147</v>
      </c>
      <c r="C283" t="s">
        <v>148</v>
      </c>
      <c r="D283">
        <v>9</v>
      </c>
      <c r="E283" s="3">
        <v>514035.5546059999</v>
      </c>
    </row>
    <row r="284" spans="1:5" x14ac:dyDescent="0.2">
      <c r="A284">
        <v>2023</v>
      </c>
      <c r="B284" t="s">
        <v>147</v>
      </c>
      <c r="C284" t="s">
        <v>148</v>
      </c>
      <c r="D284">
        <v>10</v>
      </c>
      <c r="E284" s="3">
        <v>365948.2456799997</v>
      </c>
    </row>
    <row r="285" spans="1:5" x14ac:dyDescent="0.2">
      <c r="A285">
        <v>2023</v>
      </c>
      <c r="B285" t="s">
        <v>147</v>
      </c>
      <c r="C285" t="s">
        <v>148</v>
      </c>
      <c r="D285">
        <v>11</v>
      </c>
      <c r="E285" s="3">
        <v>301757.10632800008</v>
      </c>
    </row>
    <row r="286" spans="1:5" x14ac:dyDescent="0.2">
      <c r="A286">
        <v>2023</v>
      </c>
      <c r="B286" t="s">
        <v>147</v>
      </c>
      <c r="C286" t="s">
        <v>148</v>
      </c>
      <c r="D286">
        <v>12</v>
      </c>
      <c r="E286" s="3">
        <v>304094.64996999991</v>
      </c>
    </row>
    <row r="287" spans="1:5" x14ac:dyDescent="0.2">
      <c r="A287">
        <v>2023</v>
      </c>
      <c r="B287" t="s">
        <v>147</v>
      </c>
      <c r="C287" t="s">
        <v>148</v>
      </c>
      <c r="D287">
        <v>13</v>
      </c>
      <c r="E287" s="3">
        <v>297093.73361800006</v>
      </c>
    </row>
    <row r="288" spans="1:5" x14ac:dyDescent="0.2">
      <c r="A288">
        <v>2023</v>
      </c>
      <c r="B288" t="s">
        <v>147</v>
      </c>
      <c r="C288" t="s">
        <v>148</v>
      </c>
      <c r="D288">
        <v>14</v>
      </c>
      <c r="E288" s="3">
        <v>570725.36753999884</v>
      </c>
    </row>
    <row r="289" spans="1:5" x14ac:dyDescent="0.2">
      <c r="A289">
        <v>2023</v>
      </c>
      <c r="B289" t="s">
        <v>147</v>
      </c>
      <c r="C289" t="s">
        <v>148</v>
      </c>
      <c r="D289">
        <v>15</v>
      </c>
      <c r="E289" s="3">
        <v>567126.51328999933</v>
      </c>
    </row>
    <row r="290" spans="1:5" x14ac:dyDescent="0.2">
      <c r="A290">
        <v>2023</v>
      </c>
      <c r="B290" t="s">
        <v>147</v>
      </c>
      <c r="C290" t="s">
        <v>148</v>
      </c>
      <c r="D290">
        <v>16</v>
      </c>
      <c r="E290" s="3">
        <v>285701.68860000011</v>
      </c>
    </row>
    <row r="291" spans="1:5" x14ac:dyDescent="0.2">
      <c r="A291">
        <v>2023</v>
      </c>
      <c r="B291" t="s">
        <v>147</v>
      </c>
      <c r="C291" t="s">
        <v>148</v>
      </c>
      <c r="D291">
        <v>17</v>
      </c>
      <c r="E291" s="3">
        <v>296703.81473999994</v>
      </c>
    </row>
    <row r="292" spans="1:5" x14ac:dyDescent="0.2">
      <c r="A292">
        <v>2023</v>
      </c>
      <c r="B292" t="s">
        <v>147</v>
      </c>
      <c r="C292" t="s">
        <v>148</v>
      </c>
      <c r="D292">
        <v>18</v>
      </c>
      <c r="E292" s="3">
        <v>285836.30954999989</v>
      </c>
    </row>
    <row r="293" spans="1:5" x14ac:dyDescent="0.2">
      <c r="A293">
        <v>2023</v>
      </c>
      <c r="B293" t="s">
        <v>147</v>
      </c>
      <c r="C293" t="s">
        <v>148</v>
      </c>
      <c r="D293">
        <v>19</v>
      </c>
      <c r="E293" s="3">
        <v>291510.28041000001</v>
      </c>
    </row>
    <row r="294" spans="1:5" x14ac:dyDescent="0.2">
      <c r="A294">
        <v>2023</v>
      </c>
      <c r="B294" t="s">
        <v>147</v>
      </c>
      <c r="C294" t="s">
        <v>148</v>
      </c>
      <c r="D294">
        <v>20</v>
      </c>
      <c r="E294" s="3">
        <v>280818.51543999999</v>
      </c>
    </row>
    <row r="295" spans="1:5" x14ac:dyDescent="0.2">
      <c r="A295">
        <v>2023</v>
      </c>
      <c r="B295" t="s">
        <v>147</v>
      </c>
      <c r="C295" t="s">
        <v>148</v>
      </c>
      <c r="D295">
        <v>21</v>
      </c>
      <c r="E295" s="3">
        <v>581839.76798999892</v>
      </c>
    </row>
    <row r="296" spans="1:5" x14ac:dyDescent="0.2">
      <c r="A296">
        <v>2023</v>
      </c>
      <c r="B296" t="s">
        <v>147</v>
      </c>
      <c r="C296" t="s">
        <v>148</v>
      </c>
      <c r="D296">
        <v>22</v>
      </c>
      <c r="E296" s="3">
        <v>590913.70045999938</v>
      </c>
    </row>
    <row r="297" spans="1:5" x14ac:dyDescent="0.2">
      <c r="A297">
        <v>2023</v>
      </c>
      <c r="B297" t="s">
        <v>147</v>
      </c>
      <c r="C297" t="s">
        <v>148</v>
      </c>
      <c r="D297">
        <v>23</v>
      </c>
      <c r="E297" s="3">
        <v>284010.23714000016</v>
      </c>
    </row>
    <row r="298" spans="1:5" x14ac:dyDescent="0.2">
      <c r="A298">
        <v>2023</v>
      </c>
      <c r="B298" t="s">
        <v>147</v>
      </c>
      <c r="C298" t="s">
        <v>148</v>
      </c>
      <c r="D298">
        <v>24</v>
      </c>
      <c r="E298" s="3">
        <v>273375.81257000001</v>
      </c>
    </row>
    <row r="299" spans="1:5" x14ac:dyDescent="0.2">
      <c r="A299">
        <v>2023</v>
      </c>
      <c r="B299" t="s">
        <v>147</v>
      </c>
      <c r="C299" t="s">
        <v>148</v>
      </c>
      <c r="D299">
        <v>25</v>
      </c>
      <c r="E299" s="3">
        <v>292007.71724000009</v>
      </c>
    </row>
    <row r="300" spans="1:5" x14ac:dyDescent="0.2">
      <c r="A300">
        <v>2023</v>
      </c>
      <c r="B300" t="s">
        <v>147</v>
      </c>
      <c r="C300" t="s">
        <v>148</v>
      </c>
      <c r="D300">
        <v>26</v>
      </c>
      <c r="E300" s="3">
        <v>296708.29521000024</v>
      </c>
    </row>
    <row r="301" spans="1:5" x14ac:dyDescent="0.2">
      <c r="A301">
        <v>2023</v>
      </c>
      <c r="B301" t="s">
        <v>147</v>
      </c>
      <c r="C301" t="s">
        <v>148</v>
      </c>
      <c r="D301">
        <v>27</v>
      </c>
      <c r="E301" s="3">
        <v>295971.66480000026</v>
      </c>
    </row>
    <row r="302" spans="1:5" x14ac:dyDescent="0.2">
      <c r="A302">
        <v>2023</v>
      </c>
      <c r="B302" t="s">
        <v>147</v>
      </c>
      <c r="C302" t="s">
        <v>148</v>
      </c>
      <c r="D302">
        <v>28</v>
      </c>
      <c r="E302" s="3">
        <v>587904.65987999947</v>
      </c>
    </row>
    <row r="303" spans="1:5" x14ac:dyDescent="0.2">
      <c r="A303">
        <v>2023</v>
      </c>
      <c r="B303" t="s">
        <v>147</v>
      </c>
      <c r="C303" t="s">
        <v>148</v>
      </c>
      <c r="D303">
        <v>29</v>
      </c>
      <c r="E303" s="3">
        <v>596457.16289999895</v>
      </c>
    </row>
    <row r="304" spans="1:5" x14ac:dyDescent="0.2">
      <c r="A304">
        <v>2023</v>
      </c>
      <c r="B304" t="s">
        <v>147</v>
      </c>
      <c r="C304" t="s">
        <v>148</v>
      </c>
      <c r="D304">
        <v>30</v>
      </c>
      <c r="E304" s="3">
        <v>290263.03736000007</v>
      </c>
    </row>
    <row r="305" spans="1:5" x14ac:dyDescent="0.2">
      <c r="A305">
        <v>2023</v>
      </c>
      <c r="B305" t="s">
        <v>147</v>
      </c>
      <c r="C305" t="s">
        <v>148</v>
      </c>
      <c r="D305">
        <v>31</v>
      </c>
      <c r="E305" s="3">
        <v>284572.9693099999</v>
      </c>
    </row>
    <row r="306" spans="1:5" x14ac:dyDescent="0.2">
      <c r="A306">
        <v>2023</v>
      </c>
      <c r="B306" t="s">
        <v>147</v>
      </c>
      <c r="C306" t="s">
        <v>149</v>
      </c>
      <c r="D306">
        <v>1</v>
      </c>
      <c r="E306" s="3">
        <v>339757.60484000004</v>
      </c>
    </row>
    <row r="307" spans="1:5" x14ac:dyDescent="0.2">
      <c r="A307">
        <v>2023</v>
      </c>
      <c r="B307" t="s">
        <v>147</v>
      </c>
      <c r="C307" t="s">
        <v>149</v>
      </c>
      <c r="D307">
        <v>2</v>
      </c>
      <c r="E307" s="3">
        <v>242112.3082</v>
      </c>
    </row>
    <row r="308" spans="1:5" x14ac:dyDescent="0.2">
      <c r="A308">
        <v>2023</v>
      </c>
      <c r="B308" t="s">
        <v>147</v>
      </c>
      <c r="C308" t="s">
        <v>149</v>
      </c>
      <c r="D308">
        <v>3</v>
      </c>
      <c r="E308" s="3">
        <v>246670.63209999996</v>
      </c>
    </row>
    <row r="309" spans="1:5" x14ac:dyDescent="0.2">
      <c r="A309">
        <v>2023</v>
      </c>
      <c r="B309" t="s">
        <v>147</v>
      </c>
      <c r="C309" t="s">
        <v>149</v>
      </c>
      <c r="D309">
        <v>4</v>
      </c>
      <c r="E309" s="3">
        <v>494436.00138999982</v>
      </c>
    </row>
    <row r="310" spans="1:5" x14ac:dyDescent="0.2">
      <c r="A310">
        <v>2023</v>
      </c>
      <c r="B310" t="s">
        <v>147</v>
      </c>
      <c r="C310" t="s">
        <v>149</v>
      </c>
      <c r="D310">
        <v>5</v>
      </c>
      <c r="E310" s="3">
        <v>495166.89264000021</v>
      </c>
    </row>
    <row r="311" spans="1:5" x14ac:dyDescent="0.2">
      <c r="A311">
        <v>2023</v>
      </c>
      <c r="B311" t="s">
        <v>147</v>
      </c>
      <c r="C311" t="s">
        <v>149</v>
      </c>
      <c r="D311">
        <v>6</v>
      </c>
      <c r="E311" s="3">
        <v>243938.24426999997</v>
      </c>
    </row>
    <row r="312" spans="1:5" x14ac:dyDescent="0.2">
      <c r="A312">
        <v>2023</v>
      </c>
      <c r="B312" t="s">
        <v>147</v>
      </c>
      <c r="C312" t="s">
        <v>149</v>
      </c>
      <c r="D312">
        <v>7</v>
      </c>
      <c r="E312" s="3">
        <v>249772.56620999999</v>
      </c>
    </row>
    <row r="313" spans="1:5" x14ac:dyDescent="0.2">
      <c r="A313">
        <v>2023</v>
      </c>
      <c r="B313" t="s">
        <v>147</v>
      </c>
      <c r="C313" t="s">
        <v>149</v>
      </c>
      <c r="D313">
        <v>8</v>
      </c>
      <c r="E313" s="3">
        <v>242854.95959999994</v>
      </c>
    </row>
    <row r="314" spans="1:5" x14ac:dyDescent="0.2">
      <c r="A314">
        <v>2023</v>
      </c>
      <c r="B314" t="s">
        <v>147</v>
      </c>
      <c r="C314" t="s">
        <v>149</v>
      </c>
      <c r="D314">
        <v>9</v>
      </c>
      <c r="E314" s="3">
        <v>258697.37915000005</v>
      </c>
    </row>
    <row r="315" spans="1:5" x14ac:dyDescent="0.2">
      <c r="A315">
        <v>2023</v>
      </c>
      <c r="B315" t="s">
        <v>147</v>
      </c>
      <c r="C315" t="s">
        <v>149</v>
      </c>
      <c r="D315">
        <v>10</v>
      </c>
      <c r="E315" s="3">
        <v>246859.23484999995</v>
      </c>
    </row>
    <row r="316" spans="1:5" x14ac:dyDescent="0.2">
      <c r="A316">
        <v>2023</v>
      </c>
      <c r="B316" t="s">
        <v>147</v>
      </c>
      <c r="C316" t="s">
        <v>149</v>
      </c>
      <c r="D316">
        <v>11</v>
      </c>
      <c r="E316" s="3">
        <v>796387.40955000045</v>
      </c>
    </row>
    <row r="317" spans="1:5" x14ac:dyDescent="0.2">
      <c r="A317">
        <v>2023</v>
      </c>
      <c r="B317" t="s">
        <v>147</v>
      </c>
      <c r="C317" t="s">
        <v>149</v>
      </c>
      <c r="D317">
        <v>12</v>
      </c>
      <c r="E317" s="3">
        <v>505200.84100000007</v>
      </c>
    </row>
    <row r="318" spans="1:5" x14ac:dyDescent="0.2">
      <c r="A318">
        <v>2023</v>
      </c>
      <c r="B318" t="s">
        <v>147</v>
      </c>
      <c r="C318" t="s">
        <v>149</v>
      </c>
      <c r="D318">
        <v>13</v>
      </c>
      <c r="E318" s="3">
        <v>251505.85574999987</v>
      </c>
    </row>
    <row r="319" spans="1:5" x14ac:dyDescent="0.2">
      <c r="A319">
        <v>2023</v>
      </c>
      <c r="B319" t="s">
        <v>147</v>
      </c>
      <c r="C319" t="s">
        <v>149</v>
      </c>
      <c r="D319">
        <v>14</v>
      </c>
      <c r="E319" s="3">
        <v>252186.80710000001</v>
      </c>
    </row>
    <row r="320" spans="1:5" x14ac:dyDescent="0.2">
      <c r="A320">
        <v>2023</v>
      </c>
      <c r="B320" t="s">
        <v>147</v>
      </c>
      <c r="C320" t="s">
        <v>149</v>
      </c>
      <c r="D320">
        <v>15</v>
      </c>
      <c r="E320" s="3">
        <v>252800.78089999981</v>
      </c>
    </row>
    <row r="321" spans="1:5" x14ac:dyDescent="0.2">
      <c r="A321">
        <v>2023</v>
      </c>
      <c r="B321" t="s">
        <v>147</v>
      </c>
      <c r="C321" t="s">
        <v>149</v>
      </c>
      <c r="D321">
        <v>16</v>
      </c>
      <c r="E321" s="3">
        <v>251922.30389999994</v>
      </c>
    </row>
    <row r="322" spans="1:5" x14ac:dyDescent="0.2">
      <c r="A322">
        <v>2023</v>
      </c>
      <c r="B322" t="s">
        <v>147</v>
      </c>
      <c r="C322" t="s">
        <v>149</v>
      </c>
      <c r="D322">
        <v>17</v>
      </c>
      <c r="E322" s="3">
        <v>249120.7562</v>
      </c>
    </row>
    <row r="323" spans="1:5" x14ac:dyDescent="0.2">
      <c r="A323">
        <v>2023</v>
      </c>
      <c r="B323" t="s">
        <v>147</v>
      </c>
      <c r="C323" t="s">
        <v>149</v>
      </c>
      <c r="D323">
        <v>18</v>
      </c>
      <c r="E323" s="3">
        <v>503084.01165000006</v>
      </c>
    </row>
    <row r="324" spans="1:5" x14ac:dyDescent="0.2">
      <c r="A324">
        <v>2023</v>
      </c>
      <c r="B324" t="s">
        <v>147</v>
      </c>
      <c r="C324" t="s">
        <v>149</v>
      </c>
      <c r="D324">
        <v>19</v>
      </c>
      <c r="E324" s="3">
        <v>505894.38239999971</v>
      </c>
    </row>
    <row r="325" spans="1:5" x14ac:dyDescent="0.2">
      <c r="A325">
        <v>2023</v>
      </c>
      <c r="B325" t="s">
        <v>147</v>
      </c>
      <c r="C325" t="s">
        <v>149</v>
      </c>
      <c r="D325">
        <v>20</v>
      </c>
      <c r="E325" s="3">
        <v>245412.05195000005</v>
      </c>
    </row>
    <row r="326" spans="1:5" x14ac:dyDescent="0.2">
      <c r="A326">
        <v>2023</v>
      </c>
      <c r="B326" t="s">
        <v>147</v>
      </c>
      <c r="C326" t="s">
        <v>149</v>
      </c>
      <c r="D326">
        <v>21</v>
      </c>
      <c r="E326" s="3">
        <v>238193.02710000001</v>
      </c>
    </row>
    <row r="327" spans="1:5" x14ac:dyDescent="0.2">
      <c r="A327">
        <v>2023</v>
      </c>
      <c r="B327" t="s">
        <v>147</v>
      </c>
      <c r="C327" t="s">
        <v>149</v>
      </c>
      <c r="D327">
        <v>22</v>
      </c>
      <c r="E327" s="3">
        <v>247744.93484999996</v>
      </c>
    </row>
    <row r="328" spans="1:5" x14ac:dyDescent="0.2">
      <c r="A328">
        <v>2023</v>
      </c>
      <c r="B328" t="s">
        <v>147</v>
      </c>
      <c r="C328" t="s">
        <v>149</v>
      </c>
      <c r="D328">
        <v>23</v>
      </c>
      <c r="E328" s="3">
        <v>341594.38590000005</v>
      </c>
    </row>
    <row r="329" spans="1:5" x14ac:dyDescent="0.2">
      <c r="A329">
        <v>2023</v>
      </c>
      <c r="B329" t="s">
        <v>147</v>
      </c>
      <c r="C329" t="s">
        <v>149</v>
      </c>
      <c r="D329">
        <v>24</v>
      </c>
      <c r="E329" s="3">
        <v>241224.42484999992</v>
      </c>
    </row>
    <row r="330" spans="1:5" x14ac:dyDescent="0.2">
      <c r="A330">
        <v>2023</v>
      </c>
      <c r="B330" t="s">
        <v>147</v>
      </c>
      <c r="C330" t="s">
        <v>149</v>
      </c>
      <c r="D330">
        <v>25</v>
      </c>
      <c r="E330" s="3">
        <v>490640.95334999985</v>
      </c>
    </row>
    <row r="331" spans="1:5" x14ac:dyDescent="0.2">
      <c r="A331">
        <v>2023</v>
      </c>
      <c r="B331" t="s">
        <v>147</v>
      </c>
      <c r="C331" t="s">
        <v>149</v>
      </c>
      <c r="D331">
        <v>26</v>
      </c>
      <c r="E331" s="3">
        <v>483461.45759999985</v>
      </c>
    </row>
    <row r="332" spans="1:5" x14ac:dyDescent="0.2">
      <c r="A332">
        <v>2023</v>
      </c>
      <c r="B332" t="s">
        <v>147</v>
      </c>
      <c r="C332" t="s">
        <v>149</v>
      </c>
      <c r="D332">
        <v>27</v>
      </c>
      <c r="E332" s="3">
        <v>331255.29848999938</v>
      </c>
    </row>
    <row r="333" spans="1:5" x14ac:dyDescent="0.2">
      <c r="A333">
        <v>2023</v>
      </c>
      <c r="B333" t="s">
        <v>147</v>
      </c>
      <c r="C333" t="s">
        <v>149</v>
      </c>
      <c r="D333">
        <v>28</v>
      </c>
      <c r="E333" s="3">
        <v>239559.51866999996</v>
      </c>
    </row>
    <row r="334" spans="1:5" x14ac:dyDescent="0.2">
      <c r="A334">
        <v>2023</v>
      </c>
      <c r="B334" t="s">
        <v>147</v>
      </c>
      <c r="C334" t="s">
        <v>149</v>
      </c>
      <c r="D334">
        <v>29</v>
      </c>
      <c r="E334" s="3">
        <v>243538.73729000002</v>
      </c>
    </row>
    <row r="335" spans="1:5" x14ac:dyDescent="0.2">
      <c r="A335">
        <v>2023</v>
      </c>
      <c r="B335" t="s">
        <v>147</v>
      </c>
      <c r="C335" t="s">
        <v>149</v>
      </c>
      <c r="D335">
        <v>30</v>
      </c>
      <c r="E335" s="3">
        <v>240712.72276999993</v>
      </c>
    </row>
    <row r="336" spans="1:5" x14ac:dyDescent="0.2">
      <c r="A336">
        <v>2023</v>
      </c>
      <c r="B336" t="s">
        <v>147</v>
      </c>
      <c r="C336" t="s">
        <v>150</v>
      </c>
      <c r="D336">
        <v>1</v>
      </c>
      <c r="E336" s="3">
        <v>576431.56548999995</v>
      </c>
    </row>
    <row r="337" spans="1:5" x14ac:dyDescent="0.2">
      <c r="A337">
        <v>2023</v>
      </c>
      <c r="B337" t="s">
        <v>147</v>
      </c>
      <c r="C337" t="s">
        <v>150</v>
      </c>
      <c r="D337">
        <v>2</v>
      </c>
      <c r="E337" s="3">
        <v>918086.78508999851</v>
      </c>
    </row>
    <row r="338" spans="1:5" x14ac:dyDescent="0.2">
      <c r="A338">
        <v>2023</v>
      </c>
      <c r="B338" t="s">
        <v>147</v>
      </c>
      <c r="C338" t="s">
        <v>150</v>
      </c>
      <c r="D338">
        <v>3</v>
      </c>
      <c r="E338" s="3">
        <v>925895.39121999871</v>
      </c>
    </row>
    <row r="339" spans="1:5" x14ac:dyDescent="0.2">
      <c r="A339">
        <v>2023</v>
      </c>
      <c r="B339" t="s">
        <v>147</v>
      </c>
      <c r="C339" t="s">
        <v>150</v>
      </c>
      <c r="D339">
        <v>4</v>
      </c>
      <c r="E339" s="3">
        <v>458228.92166999966</v>
      </c>
    </row>
    <row r="340" spans="1:5" x14ac:dyDescent="0.2">
      <c r="A340">
        <v>2023</v>
      </c>
      <c r="B340" t="s">
        <v>147</v>
      </c>
      <c r="C340" t="s">
        <v>150</v>
      </c>
      <c r="D340">
        <v>5</v>
      </c>
      <c r="E340" s="3">
        <v>459222.49595999916</v>
      </c>
    </row>
    <row r="341" spans="1:5" x14ac:dyDescent="0.2">
      <c r="A341">
        <v>2023</v>
      </c>
      <c r="B341" t="s">
        <v>147</v>
      </c>
      <c r="C341" t="s">
        <v>150</v>
      </c>
      <c r="D341">
        <v>6</v>
      </c>
      <c r="E341" s="3">
        <v>434674.79680999956</v>
      </c>
    </row>
    <row r="342" spans="1:5" x14ac:dyDescent="0.2">
      <c r="A342">
        <v>2023</v>
      </c>
      <c r="B342" t="s">
        <v>147</v>
      </c>
      <c r="C342" t="s">
        <v>150</v>
      </c>
      <c r="D342">
        <v>7</v>
      </c>
      <c r="E342" s="3">
        <v>457748.36841999972</v>
      </c>
    </row>
    <row r="343" spans="1:5" x14ac:dyDescent="0.2">
      <c r="A343">
        <v>2023</v>
      </c>
      <c r="B343" t="s">
        <v>147</v>
      </c>
      <c r="C343" t="s">
        <v>150</v>
      </c>
      <c r="D343">
        <v>8</v>
      </c>
      <c r="E343" s="3">
        <v>555811.21842999978</v>
      </c>
    </row>
    <row r="344" spans="1:5" x14ac:dyDescent="0.2">
      <c r="A344">
        <v>2023</v>
      </c>
      <c r="B344" t="s">
        <v>147</v>
      </c>
      <c r="C344" t="s">
        <v>150</v>
      </c>
      <c r="D344">
        <v>9</v>
      </c>
      <c r="E344" s="3">
        <v>878813.24181999941</v>
      </c>
    </row>
    <row r="345" spans="1:5" x14ac:dyDescent="0.2">
      <c r="A345">
        <v>2023</v>
      </c>
      <c r="B345" t="s">
        <v>147</v>
      </c>
      <c r="C345" t="s">
        <v>150</v>
      </c>
      <c r="D345">
        <v>10</v>
      </c>
      <c r="E345" s="3">
        <v>907579.47293999919</v>
      </c>
    </row>
    <row r="346" spans="1:5" x14ac:dyDescent="0.2">
      <c r="A346">
        <v>2023</v>
      </c>
      <c r="B346" t="s">
        <v>147</v>
      </c>
      <c r="C346" t="s">
        <v>150</v>
      </c>
      <c r="D346">
        <v>11</v>
      </c>
      <c r="E346" s="3">
        <v>462816.42202999903</v>
      </c>
    </row>
    <row r="347" spans="1:5" x14ac:dyDescent="0.2">
      <c r="A347">
        <v>2023</v>
      </c>
      <c r="B347" t="s">
        <v>147</v>
      </c>
      <c r="C347" t="s">
        <v>150</v>
      </c>
      <c r="D347">
        <v>12</v>
      </c>
      <c r="E347" s="3">
        <v>450083.51872999931</v>
      </c>
    </row>
    <row r="348" spans="1:5" x14ac:dyDescent="0.2">
      <c r="A348">
        <v>2023</v>
      </c>
      <c r="B348" t="s">
        <v>147</v>
      </c>
      <c r="C348" t="s">
        <v>150</v>
      </c>
      <c r="D348">
        <v>13</v>
      </c>
      <c r="E348" s="3">
        <v>451861.17645999941</v>
      </c>
    </row>
    <row r="349" spans="1:5" x14ac:dyDescent="0.2">
      <c r="A349">
        <v>2023</v>
      </c>
      <c r="B349" t="s">
        <v>147</v>
      </c>
      <c r="C349" t="s">
        <v>150</v>
      </c>
      <c r="D349">
        <v>14</v>
      </c>
      <c r="E349" s="3">
        <v>444924.40255999938</v>
      </c>
    </row>
    <row r="350" spans="1:5" x14ac:dyDescent="0.2">
      <c r="A350">
        <v>2023</v>
      </c>
      <c r="B350" t="s">
        <v>147</v>
      </c>
      <c r="C350" t="s">
        <v>150</v>
      </c>
      <c r="D350">
        <v>15</v>
      </c>
      <c r="E350" s="3">
        <v>449684.4659799994</v>
      </c>
    </row>
    <row r="351" spans="1:5" x14ac:dyDescent="0.2">
      <c r="A351">
        <v>2023</v>
      </c>
      <c r="B351" t="s">
        <v>147</v>
      </c>
      <c r="C351" t="s">
        <v>150</v>
      </c>
      <c r="D351">
        <v>16</v>
      </c>
      <c r="E351" s="3">
        <v>917293.50740999961</v>
      </c>
    </row>
    <row r="352" spans="1:5" x14ac:dyDescent="0.2">
      <c r="A352">
        <v>2023</v>
      </c>
      <c r="B352" t="s">
        <v>147</v>
      </c>
      <c r="C352" t="s">
        <v>150</v>
      </c>
      <c r="D352">
        <v>17</v>
      </c>
      <c r="E352" s="3">
        <v>898520.50817999954</v>
      </c>
    </row>
    <row r="353" spans="1:5" x14ac:dyDescent="0.2">
      <c r="A353">
        <v>2023</v>
      </c>
      <c r="B353" t="s">
        <v>147</v>
      </c>
      <c r="C353" t="s">
        <v>150</v>
      </c>
      <c r="D353">
        <v>18</v>
      </c>
      <c r="E353" s="3">
        <v>458157.25326999923</v>
      </c>
    </row>
    <row r="354" spans="1:5" x14ac:dyDescent="0.2">
      <c r="A354">
        <v>2023</v>
      </c>
      <c r="B354" t="s">
        <v>147</v>
      </c>
      <c r="C354" t="s">
        <v>150</v>
      </c>
      <c r="D354">
        <v>19</v>
      </c>
      <c r="E354" s="3">
        <v>476909.83923999954</v>
      </c>
    </row>
    <row r="355" spans="1:5" x14ac:dyDescent="0.2">
      <c r="A355">
        <v>2023</v>
      </c>
      <c r="B355" t="s">
        <v>147</v>
      </c>
      <c r="C355" t="s">
        <v>150</v>
      </c>
      <c r="D355">
        <v>20</v>
      </c>
      <c r="E355" s="3">
        <v>694668.33100500086</v>
      </c>
    </row>
    <row r="356" spans="1:5" x14ac:dyDescent="0.2">
      <c r="A356">
        <v>2023</v>
      </c>
      <c r="B356" t="s">
        <v>147</v>
      </c>
      <c r="C356" t="s">
        <v>150</v>
      </c>
      <c r="D356">
        <v>21</v>
      </c>
      <c r="E356" s="3">
        <v>651435.1992750013</v>
      </c>
    </row>
    <row r="357" spans="1:5" x14ac:dyDescent="0.2">
      <c r="A357">
        <v>2023</v>
      </c>
      <c r="B357" t="s">
        <v>147</v>
      </c>
      <c r="C357" t="s">
        <v>150</v>
      </c>
      <c r="D357">
        <v>22</v>
      </c>
      <c r="E357" s="3">
        <v>648398.65675500128</v>
      </c>
    </row>
    <row r="358" spans="1:5" x14ac:dyDescent="0.2">
      <c r="A358">
        <v>2023</v>
      </c>
      <c r="B358" t="s">
        <v>147</v>
      </c>
      <c r="C358" t="s">
        <v>150</v>
      </c>
      <c r="D358">
        <v>23</v>
      </c>
      <c r="E358" s="3">
        <v>1473023.8540050057</v>
      </c>
    </row>
    <row r="359" spans="1:5" x14ac:dyDescent="0.2">
      <c r="A359">
        <v>2023</v>
      </c>
      <c r="B359" t="s">
        <v>147</v>
      </c>
      <c r="C359" t="s">
        <v>150</v>
      </c>
      <c r="D359">
        <v>24</v>
      </c>
      <c r="E359" s="3">
        <v>1356290.4416250035</v>
      </c>
    </row>
    <row r="360" spans="1:5" x14ac:dyDescent="0.2">
      <c r="A360">
        <v>2023</v>
      </c>
      <c r="B360" t="s">
        <v>147</v>
      </c>
      <c r="C360" t="s">
        <v>150</v>
      </c>
      <c r="D360">
        <v>25</v>
      </c>
      <c r="E360" s="3">
        <v>1468435.5697000008</v>
      </c>
    </row>
    <row r="361" spans="1:5" x14ac:dyDescent="0.2">
      <c r="A361">
        <v>2023</v>
      </c>
      <c r="B361" t="s">
        <v>147</v>
      </c>
      <c r="C361" t="s">
        <v>150</v>
      </c>
      <c r="D361">
        <v>26</v>
      </c>
      <c r="E361" s="3">
        <v>889516.6863749997</v>
      </c>
    </row>
    <row r="362" spans="1:5" x14ac:dyDescent="0.2">
      <c r="A362">
        <v>2023</v>
      </c>
      <c r="B362" t="s">
        <v>147</v>
      </c>
      <c r="C362" t="s">
        <v>150</v>
      </c>
      <c r="D362">
        <v>27</v>
      </c>
      <c r="E362" s="3">
        <v>676532.11227500113</v>
      </c>
    </row>
    <row r="363" spans="1:5" x14ac:dyDescent="0.2">
      <c r="A363">
        <v>2023</v>
      </c>
      <c r="B363" t="s">
        <v>147</v>
      </c>
      <c r="C363" t="s">
        <v>150</v>
      </c>
      <c r="D363">
        <v>28</v>
      </c>
      <c r="E363" s="3">
        <v>634309.73235000076</v>
      </c>
    </row>
    <row r="364" spans="1:5" x14ac:dyDescent="0.2">
      <c r="A364">
        <v>2023</v>
      </c>
      <c r="B364" t="s">
        <v>147</v>
      </c>
      <c r="C364" t="s">
        <v>150</v>
      </c>
      <c r="D364">
        <v>29</v>
      </c>
      <c r="E364" s="3">
        <v>642636.50582500047</v>
      </c>
    </row>
    <row r="365" spans="1:5" x14ac:dyDescent="0.2">
      <c r="A365">
        <v>2023</v>
      </c>
      <c r="B365" t="s">
        <v>147</v>
      </c>
      <c r="C365" t="s">
        <v>150</v>
      </c>
      <c r="D365">
        <v>30</v>
      </c>
      <c r="E365" s="3">
        <v>1495579.8033750015</v>
      </c>
    </row>
    <row r="366" spans="1:5" x14ac:dyDescent="0.2">
      <c r="A366">
        <v>2023</v>
      </c>
      <c r="B366" t="s">
        <v>147</v>
      </c>
      <c r="C366" t="s">
        <v>150</v>
      </c>
      <c r="D366">
        <v>31</v>
      </c>
      <c r="E366" s="3">
        <v>1360978.1868250049</v>
      </c>
    </row>
    <row r="367" spans="1:5" x14ac:dyDescent="0.2">
      <c r="A367">
        <v>2024</v>
      </c>
      <c r="B367" t="s">
        <v>135</v>
      </c>
      <c r="C367" t="s">
        <v>136</v>
      </c>
      <c r="D367">
        <v>1</v>
      </c>
      <c r="E367" s="3">
        <v>428678.16951200011</v>
      </c>
    </row>
    <row r="368" spans="1:5" x14ac:dyDescent="0.2">
      <c r="A368">
        <v>2024</v>
      </c>
      <c r="B368" t="s">
        <v>135</v>
      </c>
      <c r="C368" t="s">
        <v>136</v>
      </c>
      <c r="D368">
        <v>2</v>
      </c>
      <c r="E368" s="3">
        <v>180206.45652700006</v>
      </c>
    </row>
    <row r="369" spans="1:5" x14ac:dyDescent="0.2">
      <c r="A369">
        <v>2024</v>
      </c>
      <c r="B369" t="s">
        <v>135</v>
      </c>
      <c r="C369" t="s">
        <v>136</v>
      </c>
      <c r="D369">
        <v>3</v>
      </c>
      <c r="E369" s="3">
        <v>178031.54057400004</v>
      </c>
    </row>
    <row r="370" spans="1:5" x14ac:dyDescent="0.2">
      <c r="A370">
        <v>2024</v>
      </c>
      <c r="B370" t="s">
        <v>135</v>
      </c>
      <c r="C370" t="s">
        <v>136</v>
      </c>
      <c r="D370">
        <v>4</v>
      </c>
      <c r="E370" s="3">
        <v>191149.937439</v>
      </c>
    </row>
    <row r="371" spans="1:5" x14ac:dyDescent="0.2">
      <c r="A371">
        <v>2024</v>
      </c>
      <c r="B371" t="s">
        <v>135</v>
      </c>
      <c r="C371" t="s">
        <v>136</v>
      </c>
      <c r="D371">
        <v>5</v>
      </c>
      <c r="E371" s="3">
        <v>181778.32389100004</v>
      </c>
    </row>
    <row r="372" spans="1:5" x14ac:dyDescent="0.2">
      <c r="A372">
        <v>2024</v>
      </c>
      <c r="B372" t="s">
        <v>135</v>
      </c>
      <c r="C372" t="s">
        <v>136</v>
      </c>
      <c r="D372">
        <v>6</v>
      </c>
      <c r="E372" s="3">
        <v>358367.25998200022</v>
      </c>
    </row>
    <row r="373" spans="1:5" x14ac:dyDescent="0.2">
      <c r="A373">
        <v>2024</v>
      </c>
      <c r="B373" t="s">
        <v>135</v>
      </c>
      <c r="C373" t="s">
        <v>136</v>
      </c>
      <c r="D373">
        <v>7</v>
      </c>
      <c r="E373" s="3">
        <v>354705.94595599984</v>
      </c>
    </row>
    <row r="374" spans="1:5" x14ac:dyDescent="0.2">
      <c r="A374">
        <v>2024</v>
      </c>
      <c r="B374" t="s">
        <v>135</v>
      </c>
      <c r="C374" t="s">
        <v>136</v>
      </c>
      <c r="D374">
        <v>8</v>
      </c>
      <c r="E374" s="3">
        <v>177328.44938500013</v>
      </c>
    </row>
    <row r="375" spans="1:5" x14ac:dyDescent="0.2">
      <c r="A375">
        <v>2024</v>
      </c>
      <c r="B375" t="s">
        <v>135</v>
      </c>
      <c r="C375" t="s">
        <v>136</v>
      </c>
      <c r="D375">
        <v>9</v>
      </c>
      <c r="E375" s="3">
        <v>166899.43244200011</v>
      </c>
    </row>
    <row r="376" spans="1:5" x14ac:dyDescent="0.2">
      <c r="A376">
        <v>2024</v>
      </c>
      <c r="B376" t="s">
        <v>135</v>
      </c>
      <c r="C376" t="s">
        <v>136</v>
      </c>
      <c r="D376">
        <v>10</v>
      </c>
      <c r="E376" s="3">
        <v>175455.07647600002</v>
      </c>
    </row>
    <row r="377" spans="1:5" x14ac:dyDescent="0.2">
      <c r="A377">
        <v>2024</v>
      </c>
      <c r="B377" t="s">
        <v>135</v>
      </c>
      <c r="C377" t="s">
        <v>136</v>
      </c>
      <c r="D377">
        <v>11</v>
      </c>
      <c r="E377" s="3">
        <v>136766.07041199997</v>
      </c>
    </row>
    <row r="378" spans="1:5" x14ac:dyDescent="0.2">
      <c r="A378">
        <v>2024</v>
      </c>
      <c r="B378" t="s">
        <v>135</v>
      </c>
      <c r="C378" t="s">
        <v>136</v>
      </c>
      <c r="D378">
        <v>12</v>
      </c>
      <c r="E378" s="3">
        <v>140006.27760199999</v>
      </c>
    </row>
    <row r="379" spans="1:5" x14ac:dyDescent="0.2">
      <c r="A379">
        <v>2024</v>
      </c>
      <c r="B379" t="s">
        <v>135</v>
      </c>
      <c r="C379" t="s">
        <v>136</v>
      </c>
      <c r="D379">
        <v>13</v>
      </c>
      <c r="E379" s="3">
        <v>278851.29141499999</v>
      </c>
    </row>
    <row r="380" spans="1:5" x14ac:dyDescent="0.2">
      <c r="A380">
        <v>2024</v>
      </c>
      <c r="B380" t="s">
        <v>135</v>
      </c>
      <c r="C380" t="s">
        <v>136</v>
      </c>
      <c r="D380">
        <v>14</v>
      </c>
      <c r="E380" s="3">
        <v>273972.29283299996</v>
      </c>
    </row>
    <row r="381" spans="1:5" x14ac:dyDescent="0.2">
      <c r="A381">
        <v>2024</v>
      </c>
      <c r="B381" t="s">
        <v>135</v>
      </c>
      <c r="C381" t="s">
        <v>136</v>
      </c>
      <c r="D381">
        <v>15</v>
      </c>
      <c r="E381" s="3">
        <v>198758.60582899995</v>
      </c>
    </row>
    <row r="382" spans="1:5" x14ac:dyDescent="0.2">
      <c r="A382">
        <v>2024</v>
      </c>
      <c r="B382" t="s">
        <v>135</v>
      </c>
      <c r="C382" t="s">
        <v>136</v>
      </c>
      <c r="D382">
        <v>16</v>
      </c>
      <c r="E382" s="3">
        <v>136448.97894999993</v>
      </c>
    </row>
    <row r="383" spans="1:5" x14ac:dyDescent="0.2">
      <c r="A383">
        <v>2024</v>
      </c>
      <c r="B383" t="s">
        <v>135</v>
      </c>
      <c r="C383" t="s">
        <v>136</v>
      </c>
      <c r="D383">
        <v>17</v>
      </c>
      <c r="E383" s="3">
        <v>133165.01039000001</v>
      </c>
    </row>
    <row r="384" spans="1:5" x14ac:dyDescent="0.2">
      <c r="A384">
        <v>2024</v>
      </c>
      <c r="B384" t="s">
        <v>135</v>
      </c>
      <c r="C384" t="s">
        <v>136</v>
      </c>
      <c r="D384">
        <v>18</v>
      </c>
      <c r="E384" s="3">
        <v>138704.67274500002</v>
      </c>
    </row>
    <row r="385" spans="1:5" x14ac:dyDescent="0.2">
      <c r="A385">
        <v>2024</v>
      </c>
      <c r="B385" t="s">
        <v>135</v>
      </c>
      <c r="C385" t="s">
        <v>136</v>
      </c>
      <c r="D385">
        <v>19</v>
      </c>
      <c r="E385" s="3">
        <v>139029.94804999995</v>
      </c>
    </row>
    <row r="386" spans="1:5" x14ac:dyDescent="0.2">
      <c r="A386">
        <v>2024</v>
      </c>
      <c r="B386" t="s">
        <v>135</v>
      </c>
      <c r="C386" t="s">
        <v>136</v>
      </c>
      <c r="D386">
        <v>20</v>
      </c>
      <c r="E386" s="3">
        <v>280313.06827300013</v>
      </c>
    </row>
    <row r="387" spans="1:5" x14ac:dyDescent="0.2">
      <c r="A387">
        <v>2024</v>
      </c>
      <c r="B387" t="s">
        <v>135</v>
      </c>
      <c r="C387" t="s">
        <v>136</v>
      </c>
      <c r="D387">
        <v>21</v>
      </c>
      <c r="E387" s="3">
        <v>268244.92777800007</v>
      </c>
    </row>
    <row r="388" spans="1:5" x14ac:dyDescent="0.2">
      <c r="A388">
        <v>2024</v>
      </c>
      <c r="B388" t="s">
        <v>135</v>
      </c>
      <c r="C388" t="s">
        <v>136</v>
      </c>
      <c r="D388">
        <v>22</v>
      </c>
      <c r="E388" s="3">
        <v>134026.004139</v>
      </c>
    </row>
    <row r="389" spans="1:5" x14ac:dyDescent="0.2">
      <c r="A389">
        <v>2024</v>
      </c>
      <c r="B389" t="s">
        <v>135</v>
      </c>
      <c r="C389" t="s">
        <v>136</v>
      </c>
      <c r="D389">
        <v>23</v>
      </c>
      <c r="E389" s="3">
        <v>146723.93060999992</v>
      </c>
    </row>
    <row r="390" spans="1:5" x14ac:dyDescent="0.2">
      <c r="A390">
        <v>2024</v>
      </c>
      <c r="B390" t="s">
        <v>135</v>
      </c>
      <c r="C390" t="s">
        <v>136</v>
      </c>
      <c r="D390">
        <v>24</v>
      </c>
      <c r="E390" s="3">
        <v>141238.7510499999</v>
      </c>
    </row>
    <row r="391" spans="1:5" x14ac:dyDescent="0.2">
      <c r="A391">
        <v>2024</v>
      </c>
      <c r="B391" t="s">
        <v>135</v>
      </c>
      <c r="C391" t="s">
        <v>136</v>
      </c>
      <c r="D391">
        <v>25</v>
      </c>
      <c r="E391" s="3">
        <v>137182.05042600003</v>
      </c>
    </row>
    <row r="392" spans="1:5" x14ac:dyDescent="0.2">
      <c r="A392">
        <v>2024</v>
      </c>
      <c r="B392" t="s">
        <v>135</v>
      </c>
      <c r="C392" t="s">
        <v>136</v>
      </c>
      <c r="D392">
        <v>26</v>
      </c>
      <c r="E392" s="3">
        <v>141644.79810300001</v>
      </c>
    </row>
    <row r="393" spans="1:5" x14ac:dyDescent="0.2">
      <c r="A393">
        <v>2024</v>
      </c>
      <c r="B393" t="s">
        <v>135</v>
      </c>
      <c r="C393" t="s">
        <v>136</v>
      </c>
      <c r="D393">
        <v>27</v>
      </c>
      <c r="E393" s="3">
        <v>274449.10863400018</v>
      </c>
    </row>
    <row r="394" spans="1:5" x14ac:dyDescent="0.2">
      <c r="A394">
        <v>2024</v>
      </c>
      <c r="B394" t="s">
        <v>135</v>
      </c>
      <c r="C394" t="s">
        <v>136</v>
      </c>
      <c r="D394">
        <v>28</v>
      </c>
      <c r="E394" s="3">
        <v>269524.35858999979</v>
      </c>
    </row>
    <row r="395" spans="1:5" x14ac:dyDescent="0.2">
      <c r="A395">
        <v>2024</v>
      </c>
      <c r="B395" t="s">
        <v>135</v>
      </c>
      <c r="C395" t="s">
        <v>136</v>
      </c>
      <c r="D395">
        <v>29</v>
      </c>
      <c r="E395" s="3">
        <v>133357.27866599994</v>
      </c>
    </row>
    <row r="396" spans="1:5" x14ac:dyDescent="0.2">
      <c r="A396">
        <v>2024</v>
      </c>
      <c r="B396" t="s">
        <v>135</v>
      </c>
      <c r="C396" t="s">
        <v>136</v>
      </c>
      <c r="D396">
        <v>30</v>
      </c>
      <c r="E396" s="3">
        <v>138998.48469300001</v>
      </c>
    </row>
    <row r="397" spans="1:5" x14ac:dyDescent="0.2">
      <c r="A397">
        <v>2024</v>
      </c>
      <c r="B397" t="s">
        <v>135</v>
      </c>
      <c r="C397" t="s">
        <v>136</v>
      </c>
      <c r="D397">
        <v>31</v>
      </c>
      <c r="E397" s="3">
        <v>136616.99597399993</v>
      </c>
    </row>
    <row r="398" spans="1:5" x14ac:dyDescent="0.2">
      <c r="A398">
        <v>2024</v>
      </c>
      <c r="B398" t="s">
        <v>135</v>
      </c>
      <c r="C398" t="s">
        <v>137</v>
      </c>
      <c r="D398">
        <v>1</v>
      </c>
      <c r="E398" s="3">
        <v>151302.48396499993</v>
      </c>
    </row>
    <row r="399" spans="1:5" x14ac:dyDescent="0.2">
      <c r="A399">
        <v>2024</v>
      </c>
      <c r="B399" t="s">
        <v>135</v>
      </c>
      <c r="C399" t="s">
        <v>137</v>
      </c>
      <c r="D399">
        <v>2</v>
      </c>
      <c r="E399" s="3">
        <v>139935.66442000002</v>
      </c>
    </row>
    <row r="400" spans="1:5" x14ac:dyDescent="0.2">
      <c r="A400">
        <v>2024</v>
      </c>
      <c r="B400" t="s">
        <v>135</v>
      </c>
      <c r="C400" t="s">
        <v>137</v>
      </c>
      <c r="D400">
        <v>3</v>
      </c>
      <c r="E400" s="3">
        <v>293750.45167400013</v>
      </c>
    </row>
    <row r="401" spans="1:5" x14ac:dyDescent="0.2">
      <c r="A401">
        <v>2024</v>
      </c>
      <c r="B401" t="s">
        <v>135</v>
      </c>
      <c r="C401" t="s">
        <v>137</v>
      </c>
      <c r="D401">
        <v>4</v>
      </c>
      <c r="E401" s="3">
        <v>276979.10063400009</v>
      </c>
    </row>
    <row r="402" spans="1:5" x14ac:dyDescent="0.2">
      <c r="A402">
        <v>2024</v>
      </c>
      <c r="B402" t="s">
        <v>135</v>
      </c>
      <c r="C402" t="s">
        <v>137</v>
      </c>
      <c r="D402">
        <v>5</v>
      </c>
      <c r="E402" s="3">
        <v>149977.17066999999</v>
      </c>
    </row>
    <row r="403" spans="1:5" x14ac:dyDescent="0.2">
      <c r="A403">
        <v>2024</v>
      </c>
      <c r="B403" t="s">
        <v>135</v>
      </c>
      <c r="C403" t="s">
        <v>137</v>
      </c>
      <c r="D403">
        <v>6</v>
      </c>
      <c r="E403" s="3">
        <v>135960.88828600003</v>
      </c>
    </row>
    <row r="404" spans="1:5" x14ac:dyDescent="0.2">
      <c r="A404">
        <v>2024</v>
      </c>
      <c r="B404" t="s">
        <v>135</v>
      </c>
      <c r="C404" t="s">
        <v>137</v>
      </c>
      <c r="D404">
        <v>7</v>
      </c>
      <c r="E404" s="3">
        <v>147080.86409599998</v>
      </c>
    </row>
    <row r="405" spans="1:5" x14ac:dyDescent="0.2">
      <c r="A405">
        <v>2024</v>
      </c>
      <c r="B405" t="s">
        <v>135</v>
      </c>
      <c r="C405" t="s">
        <v>137</v>
      </c>
      <c r="D405">
        <v>8</v>
      </c>
      <c r="E405" s="3">
        <v>132787.55683899991</v>
      </c>
    </row>
    <row r="406" spans="1:5" x14ac:dyDescent="0.2">
      <c r="A406">
        <v>2024</v>
      </c>
      <c r="B406" t="s">
        <v>135</v>
      </c>
      <c r="C406" t="s">
        <v>137</v>
      </c>
      <c r="D406">
        <v>9</v>
      </c>
      <c r="E406" s="3">
        <v>149104.01683700003</v>
      </c>
    </row>
    <row r="407" spans="1:5" x14ac:dyDescent="0.2">
      <c r="A407">
        <v>2024</v>
      </c>
      <c r="B407" t="s">
        <v>135</v>
      </c>
      <c r="C407" t="s">
        <v>137</v>
      </c>
      <c r="D407">
        <v>10</v>
      </c>
      <c r="E407" s="3">
        <v>418573.35234999994</v>
      </c>
    </row>
    <row r="408" spans="1:5" x14ac:dyDescent="0.2">
      <c r="A408">
        <v>2024</v>
      </c>
      <c r="B408" t="s">
        <v>135</v>
      </c>
      <c r="C408" t="s">
        <v>137</v>
      </c>
      <c r="D408">
        <v>11</v>
      </c>
      <c r="E408" s="3">
        <v>285154.41266999999</v>
      </c>
    </row>
    <row r="409" spans="1:5" x14ac:dyDescent="0.2">
      <c r="A409">
        <v>2024</v>
      </c>
      <c r="B409" t="s">
        <v>135</v>
      </c>
      <c r="C409" t="s">
        <v>137</v>
      </c>
      <c r="D409">
        <v>12</v>
      </c>
      <c r="E409" s="3">
        <v>143329.59359499998</v>
      </c>
    </row>
    <row r="410" spans="1:5" x14ac:dyDescent="0.2">
      <c r="A410">
        <v>2024</v>
      </c>
      <c r="B410" t="s">
        <v>135</v>
      </c>
      <c r="C410" t="s">
        <v>137</v>
      </c>
      <c r="D410">
        <v>13</v>
      </c>
      <c r="E410" s="3">
        <v>142520.25274499995</v>
      </c>
    </row>
    <row r="411" spans="1:5" x14ac:dyDescent="0.2">
      <c r="A411">
        <v>2024</v>
      </c>
      <c r="B411" t="s">
        <v>135</v>
      </c>
      <c r="C411" t="s">
        <v>137</v>
      </c>
      <c r="D411">
        <v>14</v>
      </c>
      <c r="E411" s="3">
        <v>146834.65046000006</v>
      </c>
    </row>
    <row r="412" spans="1:5" x14ac:dyDescent="0.2">
      <c r="A412">
        <v>2024</v>
      </c>
      <c r="B412" t="s">
        <v>135</v>
      </c>
      <c r="C412" t="s">
        <v>137</v>
      </c>
      <c r="D412">
        <v>15</v>
      </c>
      <c r="E412" s="3">
        <v>138219.945695</v>
      </c>
    </row>
    <row r="413" spans="1:5" x14ac:dyDescent="0.2">
      <c r="A413">
        <v>2024</v>
      </c>
      <c r="B413" t="s">
        <v>135</v>
      </c>
      <c r="C413" t="s">
        <v>137</v>
      </c>
      <c r="D413">
        <v>16</v>
      </c>
      <c r="E413" s="3">
        <v>150800.64696500002</v>
      </c>
    </row>
    <row r="414" spans="1:5" x14ac:dyDescent="0.2">
      <c r="A414">
        <v>2024</v>
      </c>
      <c r="B414" t="s">
        <v>135</v>
      </c>
      <c r="C414" t="s">
        <v>137</v>
      </c>
      <c r="D414">
        <v>17</v>
      </c>
      <c r="E414" s="3">
        <v>278208.921195</v>
      </c>
    </row>
    <row r="415" spans="1:5" x14ac:dyDescent="0.2">
      <c r="A415">
        <v>2024</v>
      </c>
      <c r="B415" t="s">
        <v>135</v>
      </c>
      <c r="C415" t="s">
        <v>137</v>
      </c>
      <c r="D415">
        <v>18</v>
      </c>
      <c r="E415" s="3">
        <v>285799.38886999997</v>
      </c>
    </row>
    <row r="416" spans="1:5" x14ac:dyDescent="0.2">
      <c r="A416">
        <v>2024</v>
      </c>
      <c r="B416" t="s">
        <v>135</v>
      </c>
      <c r="C416" t="s">
        <v>137</v>
      </c>
      <c r="D416">
        <v>19</v>
      </c>
      <c r="E416" s="3">
        <v>192963.54528999995</v>
      </c>
    </row>
    <row r="417" spans="1:5" x14ac:dyDescent="0.2">
      <c r="A417">
        <v>2024</v>
      </c>
      <c r="B417" t="s">
        <v>135</v>
      </c>
      <c r="C417" t="s">
        <v>137</v>
      </c>
      <c r="D417">
        <v>20</v>
      </c>
      <c r="E417" s="3">
        <v>143710.93760499998</v>
      </c>
    </row>
    <row r="418" spans="1:5" x14ac:dyDescent="0.2">
      <c r="A418">
        <v>2024</v>
      </c>
      <c r="B418" t="s">
        <v>135</v>
      </c>
      <c r="C418" t="s">
        <v>137</v>
      </c>
      <c r="D418">
        <v>21</v>
      </c>
      <c r="E418" s="3">
        <v>146867.21624999997</v>
      </c>
    </row>
    <row r="419" spans="1:5" x14ac:dyDescent="0.2">
      <c r="A419">
        <v>2024</v>
      </c>
      <c r="B419" t="s">
        <v>135</v>
      </c>
      <c r="C419" t="s">
        <v>137</v>
      </c>
      <c r="D419">
        <v>22</v>
      </c>
      <c r="E419" s="3">
        <v>143716.32438500007</v>
      </c>
    </row>
    <row r="420" spans="1:5" x14ac:dyDescent="0.2">
      <c r="A420">
        <v>2024</v>
      </c>
      <c r="B420" t="s">
        <v>135</v>
      </c>
      <c r="C420" t="s">
        <v>137</v>
      </c>
      <c r="D420">
        <v>23</v>
      </c>
      <c r="E420" s="3">
        <v>142833.84525999997</v>
      </c>
    </row>
    <row r="421" spans="1:5" x14ac:dyDescent="0.2">
      <c r="A421">
        <v>2024</v>
      </c>
      <c r="B421" t="s">
        <v>135</v>
      </c>
      <c r="C421" t="s">
        <v>137</v>
      </c>
      <c r="D421">
        <v>24</v>
      </c>
      <c r="E421" s="3">
        <v>292966.00125500018</v>
      </c>
    </row>
    <row r="422" spans="1:5" x14ac:dyDescent="0.2">
      <c r="A422">
        <v>2024</v>
      </c>
      <c r="B422" t="s">
        <v>135</v>
      </c>
      <c r="C422" t="s">
        <v>137</v>
      </c>
      <c r="D422">
        <v>25</v>
      </c>
      <c r="E422" s="3">
        <v>282465.93556500005</v>
      </c>
    </row>
    <row r="423" spans="1:5" x14ac:dyDescent="0.2">
      <c r="A423">
        <v>2024</v>
      </c>
      <c r="B423" t="s">
        <v>135</v>
      </c>
      <c r="C423" t="s">
        <v>137</v>
      </c>
      <c r="D423">
        <v>26</v>
      </c>
      <c r="E423" s="3">
        <v>145957.52757499996</v>
      </c>
    </row>
    <row r="424" spans="1:5" x14ac:dyDescent="0.2">
      <c r="A424">
        <v>2024</v>
      </c>
      <c r="B424" t="s">
        <v>135</v>
      </c>
      <c r="C424" t="s">
        <v>137</v>
      </c>
      <c r="D424">
        <v>27</v>
      </c>
      <c r="E424" s="3">
        <v>144208.71362000002</v>
      </c>
    </row>
    <row r="425" spans="1:5" x14ac:dyDescent="0.2">
      <c r="A425">
        <v>2024</v>
      </c>
      <c r="B425" t="s">
        <v>135</v>
      </c>
      <c r="C425" t="s">
        <v>137</v>
      </c>
      <c r="D425">
        <v>28</v>
      </c>
      <c r="E425" s="3">
        <v>147636.78979500002</v>
      </c>
    </row>
    <row r="426" spans="1:5" x14ac:dyDescent="0.2">
      <c r="A426">
        <v>2024</v>
      </c>
      <c r="B426" t="s">
        <v>135</v>
      </c>
      <c r="C426" t="s">
        <v>137</v>
      </c>
      <c r="D426">
        <v>29</v>
      </c>
      <c r="E426" s="3">
        <v>147865.90458000006</v>
      </c>
    </row>
    <row r="427" spans="1:5" x14ac:dyDescent="0.2">
      <c r="A427">
        <v>2024</v>
      </c>
      <c r="B427" t="s">
        <v>135</v>
      </c>
      <c r="C427" t="s">
        <v>138</v>
      </c>
      <c r="D427">
        <v>1</v>
      </c>
      <c r="E427" s="3">
        <v>301452.44062499981</v>
      </c>
    </row>
    <row r="428" spans="1:5" x14ac:dyDescent="0.2">
      <c r="A428">
        <v>2024</v>
      </c>
      <c r="B428" t="s">
        <v>135</v>
      </c>
      <c r="C428" t="s">
        <v>138</v>
      </c>
      <c r="D428">
        <v>2</v>
      </c>
      <c r="E428" s="3">
        <v>575447.39114500012</v>
      </c>
    </row>
    <row r="429" spans="1:5" x14ac:dyDescent="0.2">
      <c r="A429">
        <v>2024</v>
      </c>
      <c r="B429" t="s">
        <v>135</v>
      </c>
      <c r="C429" t="s">
        <v>138</v>
      </c>
      <c r="D429">
        <v>3</v>
      </c>
      <c r="E429" s="3">
        <v>606048.99841499981</v>
      </c>
    </row>
    <row r="430" spans="1:5" x14ac:dyDescent="0.2">
      <c r="A430">
        <v>2024</v>
      </c>
      <c r="B430" t="s">
        <v>135</v>
      </c>
      <c r="C430" t="s">
        <v>138</v>
      </c>
      <c r="D430">
        <v>4</v>
      </c>
      <c r="E430" s="3">
        <v>292158.49285499984</v>
      </c>
    </row>
    <row r="431" spans="1:5" x14ac:dyDescent="0.2">
      <c r="A431">
        <v>2024</v>
      </c>
      <c r="B431" t="s">
        <v>135</v>
      </c>
      <c r="C431" t="s">
        <v>138</v>
      </c>
      <c r="D431">
        <v>5</v>
      </c>
      <c r="E431" s="3">
        <v>303542.00289499987</v>
      </c>
    </row>
    <row r="432" spans="1:5" x14ac:dyDescent="0.2">
      <c r="A432">
        <v>2024</v>
      </c>
      <c r="B432" t="s">
        <v>135</v>
      </c>
      <c r="C432" t="s">
        <v>138</v>
      </c>
      <c r="D432">
        <v>6</v>
      </c>
      <c r="E432" s="3">
        <v>286528.01676999975</v>
      </c>
    </row>
    <row r="433" spans="1:5" x14ac:dyDescent="0.2">
      <c r="A433">
        <v>2024</v>
      </c>
      <c r="B433" t="s">
        <v>135</v>
      </c>
      <c r="C433" t="s">
        <v>138</v>
      </c>
      <c r="D433">
        <v>7</v>
      </c>
      <c r="E433" s="3">
        <v>303858.54785499966</v>
      </c>
    </row>
    <row r="434" spans="1:5" x14ac:dyDescent="0.2">
      <c r="A434">
        <v>2024</v>
      </c>
      <c r="B434" t="s">
        <v>135</v>
      </c>
      <c r="C434" t="s">
        <v>138</v>
      </c>
      <c r="D434">
        <v>8</v>
      </c>
      <c r="E434" s="3">
        <v>302089.58154499996</v>
      </c>
    </row>
    <row r="435" spans="1:5" x14ac:dyDescent="0.2">
      <c r="A435">
        <v>2024</v>
      </c>
      <c r="B435" t="s">
        <v>135</v>
      </c>
      <c r="C435" t="s">
        <v>138</v>
      </c>
      <c r="D435">
        <v>9</v>
      </c>
      <c r="E435" s="3">
        <v>596977.80096499971</v>
      </c>
    </row>
    <row r="436" spans="1:5" x14ac:dyDescent="0.2">
      <c r="A436">
        <v>2024</v>
      </c>
      <c r="B436" t="s">
        <v>135</v>
      </c>
      <c r="C436" t="s">
        <v>138</v>
      </c>
      <c r="D436">
        <v>10</v>
      </c>
      <c r="E436" s="3">
        <v>588080.57196499989</v>
      </c>
    </row>
    <row r="437" spans="1:5" x14ac:dyDescent="0.2">
      <c r="A437">
        <v>2024</v>
      </c>
      <c r="B437" t="s">
        <v>135</v>
      </c>
      <c r="C437" t="s">
        <v>138</v>
      </c>
      <c r="D437">
        <v>11</v>
      </c>
      <c r="E437" s="3">
        <v>297996.47515499976</v>
      </c>
    </row>
    <row r="438" spans="1:5" x14ac:dyDescent="0.2">
      <c r="A438">
        <v>2024</v>
      </c>
      <c r="B438" t="s">
        <v>135</v>
      </c>
      <c r="C438" t="s">
        <v>138</v>
      </c>
      <c r="D438">
        <v>12</v>
      </c>
      <c r="E438" s="3">
        <v>302803.79738499987</v>
      </c>
    </row>
    <row r="439" spans="1:5" x14ac:dyDescent="0.2">
      <c r="A439">
        <v>2024</v>
      </c>
      <c r="B439" t="s">
        <v>135</v>
      </c>
      <c r="C439" t="s">
        <v>138</v>
      </c>
      <c r="D439">
        <v>13</v>
      </c>
      <c r="E439" s="3">
        <v>282591.44050999999</v>
      </c>
    </row>
    <row r="440" spans="1:5" x14ac:dyDescent="0.2">
      <c r="A440">
        <v>2024</v>
      </c>
      <c r="B440" t="s">
        <v>135</v>
      </c>
      <c r="C440" t="s">
        <v>138</v>
      </c>
      <c r="D440">
        <v>14</v>
      </c>
      <c r="E440" s="3">
        <v>293662.64161999978</v>
      </c>
    </row>
    <row r="441" spans="1:5" x14ac:dyDescent="0.2">
      <c r="A441">
        <v>2024</v>
      </c>
      <c r="B441" t="s">
        <v>135</v>
      </c>
      <c r="C441" t="s">
        <v>138</v>
      </c>
      <c r="D441">
        <v>15</v>
      </c>
      <c r="E441" s="3">
        <v>365728.18491000048</v>
      </c>
    </row>
    <row r="442" spans="1:5" x14ac:dyDescent="0.2">
      <c r="A442">
        <v>2024</v>
      </c>
      <c r="B442" t="s">
        <v>135</v>
      </c>
      <c r="C442" t="s">
        <v>138</v>
      </c>
      <c r="D442">
        <v>16</v>
      </c>
      <c r="E442" s="3">
        <v>725346.80747699772</v>
      </c>
    </row>
    <row r="443" spans="1:5" x14ac:dyDescent="0.2">
      <c r="A443">
        <v>2024</v>
      </c>
      <c r="B443" t="s">
        <v>135</v>
      </c>
      <c r="C443" t="s">
        <v>138</v>
      </c>
      <c r="D443">
        <v>17</v>
      </c>
      <c r="E443" s="3">
        <v>796104.84111399786</v>
      </c>
    </row>
    <row r="444" spans="1:5" x14ac:dyDescent="0.2">
      <c r="A444">
        <v>2024</v>
      </c>
      <c r="B444" t="s">
        <v>135</v>
      </c>
      <c r="C444" t="s">
        <v>138</v>
      </c>
      <c r="D444">
        <v>18</v>
      </c>
      <c r="E444" s="3">
        <v>400794.11564600019</v>
      </c>
    </row>
    <row r="445" spans="1:5" x14ac:dyDescent="0.2">
      <c r="A445">
        <v>2024</v>
      </c>
      <c r="B445" t="s">
        <v>135</v>
      </c>
      <c r="C445" t="s">
        <v>138</v>
      </c>
      <c r="D445">
        <v>19</v>
      </c>
      <c r="E445" s="3">
        <v>370535.67049900035</v>
      </c>
    </row>
    <row r="446" spans="1:5" x14ac:dyDescent="0.2">
      <c r="A446">
        <v>2024</v>
      </c>
      <c r="B446" t="s">
        <v>135</v>
      </c>
      <c r="C446" t="s">
        <v>138</v>
      </c>
      <c r="D446">
        <v>20</v>
      </c>
      <c r="E446" s="3">
        <v>387481.29581300053</v>
      </c>
    </row>
    <row r="447" spans="1:5" x14ac:dyDescent="0.2">
      <c r="A447">
        <v>2024</v>
      </c>
      <c r="B447" t="s">
        <v>135</v>
      </c>
      <c r="C447" t="s">
        <v>138</v>
      </c>
      <c r="D447">
        <v>21</v>
      </c>
      <c r="E447" s="3">
        <v>389835.24396500038</v>
      </c>
    </row>
    <row r="448" spans="1:5" x14ac:dyDescent="0.2">
      <c r="A448">
        <v>2024</v>
      </c>
      <c r="B448" t="s">
        <v>135</v>
      </c>
      <c r="C448" t="s">
        <v>138</v>
      </c>
      <c r="D448">
        <v>22</v>
      </c>
      <c r="E448" s="3">
        <v>388020.42869200016</v>
      </c>
    </row>
    <row r="449" spans="1:5" x14ac:dyDescent="0.2">
      <c r="A449">
        <v>2024</v>
      </c>
      <c r="B449" t="s">
        <v>135</v>
      </c>
      <c r="C449" t="s">
        <v>138</v>
      </c>
      <c r="D449">
        <v>23</v>
      </c>
      <c r="E449" s="3">
        <v>768618.48656099814</v>
      </c>
    </row>
    <row r="450" spans="1:5" x14ac:dyDescent="0.2">
      <c r="A450">
        <v>2024</v>
      </c>
      <c r="B450" t="s">
        <v>135</v>
      </c>
      <c r="C450" t="s">
        <v>138</v>
      </c>
      <c r="D450">
        <v>24</v>
      </c>
      <c r="E450" s="3">
        <v>735332.05976199848</v>
      </c>
    </row>
    <row r="451" spans="1:5" x14ac:dyDescent="0.2">
      <c r="A451">
        <v>2024</v>
      </c>
      <c r="B451" t="s">
        <v>135</v>
      </c>
      <c r="C451" t="s">
        <v>138</v>
      </c>
      <c r="D451">
        <v>25</v>
      </c>
      <c r="E451" s="3">
        <v>386737.37763400021</v>
      </c>
    </row>
    <row r="452" spans="1:5" x14ac:dyDescent="0.2">
      <c r="A452">
        <v>2024</v>
      </c>
      <c r="B452" t="s">
        <v>135</v>
      </c>
      <c r="C452" t="s">
        <v>138</v>
      </c>
      <c r="D452">
        <v>26</v>
      </c>
      <c r="E452" s="3">
        <v>383744.02991300059</v>
      </c>
    </row>
    <row r="453" spans="1:5" x14ac:dyDescent="0.2">
      <c r="A453">
        <v>2024</v>
      </c>
      <c r="B453" t="s">
        <v>135</v>
      </c>
      <c r="C453" t="s">
        <v>138</v>
      </c>
      <c r="D453">
        <v>27</v>
      </c>
      <c r="E453" s="3">
        <v>392637.52235800039</v>
      </c>
    </row>
    <row r="454" spans="1:5" x14ac:dyDescent="0.2">
      <c r="A454">
        <v>2024</v>
      </c>
      <c r="B454" t="s">
        <v>135</v>
      </c>
      <c r="C454" t="s">
        <v>138</v>
      </c>
      <c r="D454">
        <v>28</v>
      </c>
      <c r="E454" s="3">
        <v>355543.31552600005</v>
      </c>
    </row>
    <row r="455" spans="1:5" x14ac:dyDescent="0.2">
      <c r="A455">
        <v>2024</v>
      </c>
      <c r="B455" t="s">
        <v>135</v>
      </c>
      <c r="C455" t="s">
        <v>138</v>
      </c>
      <c r="D455">
        <v>29</v>
      </c>
      <c r="E455" s="3">
        <v>580675.9914289997</v>
      </c>
    </row>
    <row r="456" spans="1:5" x14ac:dyDescent="0.2">
      <c r="A456">
        <v>2024</v>
      </c>
      <c r="B456" t="s">
        <v>135</v>
      </c>
      <c r="C456" t="s">
        <v>138</v>
      </c>
      <c r="D456">
        <v>30</v>
      </c>
      <c r="E456" s="3">
        <v>790220.78926699888</v>
      </c>
    </row>
    <row r="457" spans="1:5" x14ac:dyDescent="0.2">
      <c r="A457">
        <v>2024</v>
      </c>
      <c r="B457" t="s">
        <v>135</v>
      </c>
      <c r="C457" t="s">
        <v>138</v>
      </c>
      <c r="D457">
        <v>31</v>
      </c>
      <c r="E457" s="3">
        <v>922634.54571700143</v>
      </c>
    </row>
    <row r="458" spans="1:5" x14ac:dyDescent="0.2">
      <c r="A458">
        <v>2024</v>
      </c>
      <c r="B458" t="s">
        <v>139</v>
      </c>
      <c r="C458" t="s">
        <v>140</v>
      </c>
      <c r="D458">
        <v>1</v>
      </c>
      <c r="E458" s="3">
        <v>398584.42754399957</v>
      </c>
    </row>
    <row r="459" spans="1:5" x14ac:dyDescent="0.2">
      <c r="A459">
        <v>2024</v>
      </c>
      <c r="B459" t="s">
        <v>139</v>
      </c>
      <c r="C459" t="s">
        <v>140</v>
      </c>
      <c r="D459">
        <v>2</v>
      </c>
      <c r="E459" s="3">
        <v>295389.93583500001</v>
      </c>
    </row>
    <row r="460" spans="1:5" x14ac:dyDescent="0.2">
      <c r="A460">
        <v>2024</v>
      </c>
      <c r="B460" t="s">
        <v>139</v>
      </c>
      <c r="C460" t="s">
        <v>140</v>
      </c>
      <c r="D460">
        <v>3</v>
      </c>
      <c r="E460" s="3">
        <v>283488.55033599999</v>
      </c>
    </row>
    <row r="461" spans="1:5" x14ac:dyDescent="0.2">
      <c r="A461">
        <v>2024</v>
      </c>
      <c r="B461" t="s">
        <v>139</v>
      </c>
      <c r="C461" t="s">
        <v>140</v>
      </c>
      <c r="D461">
        <v>4</v>
      </c>
      <c r="E461" s="3">
        <v>408849.00555599958</v>
      </c>
    </row>
    <row r="462" spans="1:5" x14ac:dyDescent="0.2">
      <c r="A462">
        <v>2024</v>
      </c>
      <c r="B462" t="s">
        <v>139</v>
      </c>
      <c r="C462" t="s">
        <v>140</v>
      </c>
      <c r="D462">
        <v>5</v>
      </c>
      <c r="E462" s="3">
        <v>282472.38942100009</v>
      </c>
    </row>
    <row r="463" spans="1:5" x14ac:dyDescent="0.2">
      <c r="A463">
        <v>2024</v>
      </c>
      <c r="B463" t="s">
        <v>139</v>
      </c>
      <c r="C463" t="s">
        <v>140</v>
      </c>
      <c r="D463">
        <v>6</v>
      </c>
      <c r="E463" s="3">
        <v>552472.26826999907</v>
      </c>
    </row>
    <row r="464" spans="1:5" x14ac:dyDescent="0.2">
      <c r="A464">
        <v>2024</v>
      </c>
      <c r="B464" t="s">
        <v>139</v>
      </c>
      <c r="C464" t="s">
        <v>140</v>
      </c>
      <c r="D464">
        <v>7</v>
      </c>
      <c r="E464" s="3">
        <v>549999.77491899871</v>
      </c>
    </row>
    <row r="465" spans="1:5" x14ac:dyDescent="0.2">
      <c r="A465">
        <v>2024</v>
      </c>
      <c r="B465" t="s">
        <v>139</v>
      </c>
      <c r="C465" t="s">
        <v>140</v>
      </c>
      <c r="D465">
        <v>8</v>
      </c>
      <c r="E465" s="3">
        <v>272948.68130699988</v>
      </c>
    </row>
    <row r="466" spans="1:5" x14ac:dyDescent="0.2">
      <c r="A466">
        <v>2024</v>
      </c>
      <c r="B466" t="s">
        <v>139</v>
      </c>
      <c r="C466" t="s">
        <v>140</v>
      </c>
      <c r="D466">
        <v>9</v>
      </c>
      <c r="E466" s="3">
        <v>275842.75926999998</v>
      </c>
    </row>
    <row r="467" spans="1:5" x14ac:dyDescent="0.2">
      <c r="A467">
        <v>2024</v>
      </c>
      <c r="B467" t="s">
        <v>139</v>
      </c>
      <c r="C467" t="s">
        <v>140</v>
      </c>
      <c r="D467">
        <v>10</v>
      </c>
      <c r="E467" s="3">
        <v>279287.68003499997</v>
      </c>
    </row>
    <row r="468" spans="1:5" x14ac:dyDescent="0.2">
      <c r="A468">
        <v>2024</v>
      </c>
      <c r="B468" t="s">
        <v>139</v>
      </c>
      <c r="C468" t="s">
        <v>140</v>
      </c>
      <c r="D468">
        <v>11</v>
      </c>
      <c r="E468" s="3">
        <v>276444.85929299996</v>
      </c>
    </row>
    <row r="469" spans="1:5" x14ac:dyDescent="0.2">
      <c r="A469">
        <v>2024</v>
      </c>
      <c r="B469" t="s">
        <v>139</v>
      </c>
      <c r="C469" t="s">
        <v>140</v>
      </c>
      <c r="D469">
        <v>12</v>
      </c>
      <c r="E469" s="3">
        <v>280881.79740199988</v>
      </c>
    </row>
    <row r="470" spans="1:5" x14ac:dyDescent="0.2">
      <c r="A470">
        <v>2024</v>
      </c>
      <c r="B470" t="s">
        <v>139</v>
      </c>
      <c r="C470" t="s">
        <v>140</v>
      </c>
      <c r="D470">
        <v>13</v>
      </c>
      <c r="E470" s="3">
        <v>561436.96251999901</v>
      </c>
    </row>
    <row r="471" spans="1:5" x14ac:dyDescent="0.2">
      <c r="A471">
        <v>2024</v>
      </c>
      <c r="B471" t="s">
        <v>139</v>
      </c>
      <c r="C471" t="s">
        <v>140</v>
      </c>
      <c r="D471">
        <v>14</v>
      </c>
      <c r="E471" s="3">
        <v>579330.23303499853</v>
      </c>
    </row>
    <row r="472" spans="1:5" x14ac:dyDescent="0.2">
      <c r="A472">
        <v>2024</v>
      </c>
      <c r="B472" t="s">
        <v>139</v>
      </c>
      <c r="C472" t="s">
        <v>140</v>
      </c>
      <c r="D472">
        <v>15</v>
      </c>
      <c r="E472" s="3">
        <v>280222.54728200001</v>
      </c>
    </row>
    <row r="473" spans="1:5" x14ac:dyDescent="0.2">
      <c r="A473">
        <v>2024</v>
      </c>
      <c r="B473" t="s">
        <v>139</v>
      </c>
      <c r="C473" t="s">
        <v>140</v>
      </c>
      <c r="D473">
        <v>16</v>
      </c>
      <c r="E473" s="3">
        <v>268839.47475200001</v>
      </c>
    </row>
    <row r="474" spans="1:5" x14ac:dyDescent="0.2">
      <c r="A474">
        <v>2024</v>
      </c>
      <c r="B474" t="s">
        <v>139</v>
      </c>
      <c r="C474" t="s">
        <v>140</v>
      </c>
      <c r="D474">
        <v>17</v>
      </c>
      <c r="E474" s="3">
        <v>288630.16350500012</v>
      </c>
    </row>
    <row r="475" spans="1:5" x14ac:dyDescent="0.2">
      <c r="A475">
        <v>2024</v>
      </c>
      <c r="B475" t="s">
        <v>139</v>
      </c>
      <c r="C475" t="s">
        <v>140</v>
      </c>
      <c r="D475">
        <v>18</v>
      </c>
      <c r="E475" s="3">
        <v>280694.30888399994</v>
      </c>
    </row>
    <row r="476" spans="1:5" x14ac:dyDescent="0.2">
      <c r="A476">
        <v>2024</v>
      </c>
      <c r="B476" t="s">
        <v>139</v>
      </c>
      <c r="C476" t="s">
        <v>140</v>
      </c>
      <c r="D476">
        <v>19</v>
      </c>
      <c r="E476" s="3">
        <v>287356.34462799999</v>
      </c>
    </row>
    <row r="477" spans="1:5" x14ac:dyDescent="0.2">
      <c r="A477">
        <v>2024</v>
      </c>
      <c r="B477" t="s">
        <v>139</v>
      </c>
      <c r="C477" t="s">
        <v>140</v>
      </c>
      <c r="D477">
        <v>20</v>
      </c>
      <c r="E477" s="3">
        <v>546129.01723799889</v>
      </c>
    </row>
    <row r="478" spans="1:5" x14ac:dyDescent="0.2">
      <c r="A478">
        <v>2024</v>
      </c>
      <c r="B478" t="s">
        <v>139</v>
      </c>
      <c r="C478" t="s">
        <v>140</v>
      </c>
      <c r="D478">
        <v>21</v>
      </c>
      <c r="E478" s="3">
        <v>576047.82621899887</v>
      </c>
    </row>
    <row r="479" spans="1:5" x14ac:dyDescent="0.2">
      <c r="A479">
        <v>2024</v>
      </c>
      <c r="B479" t="s">
        <v>139</v>
      </c>
      <c r="C479" t="s">
        <v>140</v>
      </c>
      <c r="D479">
        <v>22</v>
      </c>
      <c r="E479" s="3">
        <v>278616.30802399997</v>
      </c>
    </row>
    <row r="480" spans="1:5" x14ac:dyDescent="0.2">
      <c r="A480">
        <v>2024</v>
      </c>
      <c r="B480" t="s">
        <v>139</v>
      </c>
      <c r="C480" t="s">
        <v>140</v>
      </c>
      <c r="D480">
        <v>23</v>
      </c>
      <c r="E480" s="3">
        <v>284474.67593599996</v>
      </c>
    </row>
    <row r="481" spans="1:5" x14ac:dyDescent="0.2">
      <c r="A481">
        <v>2024</v>
      </c>
      <c r="B481" t="s">
        <v>139</v>
      </c>
      <c r="C481" t="s">
        <v>140</v>
      </c>
      <c r="D481">
        <v>24</v>
      </c>
      <c r="E481" s="3">
        <v>282715.53637599992</v>
      </c>
    </row>
    <row r="482" spans="1:5" x14ac:dyDescent="0.2">
      <c r="A482">
        <v>2024</v>
      </c>
      <c r="B482" t="s">
        <v>139</v>
      </c>
      <c r="C482" t="s">
        <v>140</v>
      </c>
      <c r="D482">
        <v>25</v>
      </c>
      <c r="E482" s="3">
        <v>351181.83022599999</v>
      </c>
    </row>
    <row r="483" spans="1:5" x14ac:dyDescent="0.2">
      <c r="A483">
        <v>2024</v>
      </c>
      <c r="B483" t="s">
        <v>139</v>
      </c>
      <c r="C483" t="s">
        <v>140</v>
      </c>
      <c r="D483">
        <v>26</v>
      </c>
      <c r="E483" s="3">
        <v>278858.32582600001</v>
      </c>
    </row>
    <row r="484" spans="1:5" x14ac:dyDescent="0.2">
      <c r="A484">
        <v>2024</v>
      </c>
      <c r="B484" t="s">
        <v>139</v>
      </c>
      <c r="C484" t="s">
        <v>140</v>
      </c>
      <c r="D484">
        <v>27</v>
      </c>
      <c r="E484" s="3">
        <v>552318.81764499925</v>
      </c>
    </row>
    <row r="485" spans="1:5" x14ac:dyDescent="0.2">
      <c r="A485">
        <v>2024</v>
      </c>
      <c r="B485" t="s">
        <v>139</v>
      </c>
      <c r="C485" t="s">
        <v>140</v>
      </c>
      <c r="D485">
        <v>28</v>
      </c>
      <c r="E485" s="3">
        <v>556386.79491899896</v>
      </c>
    </row>
    <row r="486" spans="1:5" x14ac:dyDescent="0.2">
      <c r="A486">
        <v>2024</v>
      </c>
      <c r="B486" t="s">
        <v>139</v>
      </c>
      <c r="C486" t="s">
        <v>140</v>
      </c>
      <c r="D486">
        <v>29</v>
      </c>
      <c r="E486" s="3">
        <v>285757.31034999999</v>
      </c>
    </row>
    <row r="487" spans="1:5" x14ac:dyDescent="0.2">
      <c r="A487">
        <v>2024</v>
      </c>
      <c r="B487" t="s">
        <v>139</v>
      </c>
      <c r="C487" t="s">
        <v>140</v>
      </c>
      <c r="D487">
        <v>30</v>
      </c>
      <c r="E487" s="3">
        <v>276924.54157499992</v>
      </c>
    </row>
    <row r="488" spans="1:5" x14ac:dyDescent="0.2">
      <c r="A488">
        <v>2024</v>
      </c>
      <c r="B488" t="s">
        <v>139</v>
      </c>
      <c r="C488" t="s">
        <v>141</v>
      </c>
      <c r="D488">
        <v>1</v>
      </c>
      <c r="E488" s="3">
        <v>578504.96597899985</v>
      </c>
    </row>
    <row r="489" spans="1:5" x14ac:dyDescent="0.2">
      <c r="A489">
        <v>2024</v>
      </c>
      <c r="B489" t="s">
        <v>139</v>
      </c>
      <c r="C489" t="s">
        <v>141</v>
      </c>
      <c r="D489">
        <v>2</v>
      </c>
      <c r="E489" s="3">
        <v>286006.85435400001</v>
      </c>
    </row>
    <row r="490" spans="1:5" x14ac:dyDescent="0.2">
      <c r="A490">
        <v>2024</v>
      </c>
      <c r="B490" t="s">
        <v>139</v>
      </c>
      <c r="C490" t="s">
        <v>141</v>
      </c>
      <c r="D490">
        <v>3</v>
      </c>
      <c r="E490" s="3">
        <v>285883.97101799992</v>
      </c>
    </row>
    <row r="491" spans="1:5" x14ac:dyDescent="0.2">
      <c r="A491">
        <v>2024</v>
      </c>
      <c r="B491" t="s">
        <v>139</v>
      </c>
      <c r="C491" t="s">
        <v>141</v>
      </c>
      <c r="D491">
        <v>4</v>
      </c>
      <c r="E491" s="3">
        <v>561484.19914199947</v>
      </c>
    </row>
    <row r="492" spans="1:5" x14ac:dyDescent="0.2">
      <c r="A492">
        <v>2024</v>
      </c>
      <c r="B492" t="s">
        <v>139</v>
      </c>
      <c r="C492" t="s">
        <v>141</v>
      </c>
      <c r="D492">
        <v>5</v>
      </c>
      <c r="E492" s="3">
        <v>574023.0327239997</v>
      </c>
    </row>
    <row r="493" spans="1:5" x14ac:dyDescent="0.2">
      <c r="A493">
        <v>2024</v>
      </c>
      <c r="B493" t="s">
        <v>139</v>
      </c>
      <c r="C493" t="s">
        <v>141</v>
      </c>
      <c r="D493">
        <v>6</v>
      </c>
      <c r="E493" s="3">
        <v>326747.76833600004</v>
      </c>
    </row>
    <row r="494" spans="1:5" x14ac:dyDescent="0.2">
      <c r="A494">
        <v>2024</v>
      </c>
      <c r="B494" t="s">
        <v>139</v>
      </c>
      <c r="C494" t="s">
        <v>141</v>
      </c>
      <c r="D494">
        <v>7</v>
      </c>
      <c r="E494" s="3">
        <v>300235.70800899988</v>
      </c>
    </row>
    <row r="495" spans="1:5" x14ac:dyDescent="0.2">
      <c r="A495">
        <v>2024</v>
      </c>
      <c r="B495" t="s">
        <v>139</v>
      </c>
      <c r="C495" t="s">
        <v>141</v>
      </c>
      <c r="D495">
        <v>8</v>
      </c>
      <c r="E495" s="3">
        <v>341520.3472189997</v>
      </c>
    </row>
    <row r="496" spans="1:5" x14ac:dyDescent="0.2">
      <c r="A496">
        <v>2024</v>
      </c>
      <c r="B496" t="s">
        <v>139</v>
      </c>
      <c r="C496" t="s">
        <v>141</v>
      </c>
      <c r="D496">
        <v>9</v>
      </c>
      <c r="E496" s="3">
        <v>375818.34109199996</v>
      </c>
    </row>
    <row r="497" spans="1:5" x14ac:dyDescent="0.2">
      <c r="A497">
        <v>2024</v>
      </c>
      <c r="B497" t="s">
        <v>139</v>
      </c>
      <c r="C497" t="s">
        <v>141</v>
      </c>
      <c r="D497">
        <v>10</v>
      </c>
      <c r="E497" s="3">
        <v>299745.49558599998</v>
      </c>
    </row>
    <row r="498" spans="1:5" x14ac:dyDescent="0.2">
      <c r="A498">
        <v>2024</v>
      </c>
      <c r="B498" t="s">
        <v>139</v>
      </c>
      <c r="C498" t="s">
        <v>141</v>
      </c>
      <c r="D498">
        <v>11</v>
      </c>
      <c r="E498" s="3">
        <v>579281.13663299941</v>
      </c>
    </row>
    <row r="499" spans="1:5" x14ac:dyDescent="0.2">
      <c r="A499">
        <v>2024</v>
      </c>
      <c r="B499" t="s">
        <v>139</v>
      </c>
      <c r="C499" t="s">
        <v>141</v>
      </c>
      <c r="D499">
        <v>12</v>
      </c>
      <c r="E499" s="3">
        <v>581602.54376699997</v>
      </c>
    </row>
    <row r="500" spans="1:5" x14ac:dyDescent="0.2">
      <c r="A500">
        <v>2024</v>
      </c>
      <c r="B500" t="s">
        <v>139</v>
      </c>
      <c r="C500" t="s">
        <v>141</v>
      </c>
      <c r="D500">
        <v>13</v>
      </c>
      <c r="E500" s="3">
        <v>303226.38282300014</v>
      </c>
    </row>
    <row r="501" spans="1:5" x14ac:dyDescent="0.2">
      <c r="A501">
        <v>2024</v>
      </c>
      <c r="B501" t="s">
        <v>139</v>
      </c>
      <c r="C501" t="s">
        <v>141</v>
      </c>
      <c r="D501">
        <v>14</v>
      </c>
      <c r="E501" s="3">
        <v>285883.02783700009</v>
      </c>
    </row>
    <row r="502" spans="1:5" x14ac:dyDescent="0.2">
      <c r="A502">
        <v>2024</v>
      </c>
      <c r="B502" t="s">
        <v>139</v>
      </c>
      <c r="C502" t="s">
        <v>141</v>
      </c>
      <c r="D502">
        <v>15</v>
      </c>
      <c r="E502" s="3">
        <v>280061.55902599997</v>
      </c>
    </row>
    <row r="503" spans="1:5" x14ac:dyDescent="0.2">
      <c r="A503">
        <v>2024</v>
      </c>
      <c r="B503" t="s">
        <v>139</v>
      </c>
      <c r="C503" t="s">
        <v>141</v>
      </c>
      <c r="D503">
        <v>16</v>
      </c>
      <c r="E503" s="3">
        <v>219549.96178199988</v>
      </c>
    </row>
    <row r="504" spans="1:5" x14ac:dyDescent="0.2">
      <c r="A504">
        <v>2024</v>
      </c>
      <c r="B504" t="s">
        <v>139</v>
      </c>
      <c r="C504" t="s">
        <v>141</v>
      </c>
      <c r="D504">
        <v>17</v>
      </c>
      <c r="E504" s="3">
        <v>215877.77864299994</v>
      </c>
    </row>
    <row r="505" spans="1:5" x14ac:dyDescent="0.2">
      <c r="A505">
        <v>2024</v>
      </c>
      <c r="B505" t="s">
        <v>139</v>
      </c>
      <c r="C505" t="s">
        <v>141</v>
      </c>
      <c r="D505">
        <v>18</v>
      </c>
      <c r="E505" s="3">
        <v>451206.70916199987</v>
      </c>
    </row>
    <row r="506" spans="1:5" x14ac:dyDescent="0.2">
      <c r="A506">
        <v>2024</v>
      </c>
      <c r="B506" t="s">
        <v>139</v>
      </c>
      <c r="C506" t="s">
        <v>141</v>
      </c>
      <c r="D506">
        <v>19</v>
      </c>
      <c r="E506" s="3">
        <v>440255.39454199973</v>
      </c>
    </row>
    <row r="507" spans="1:5" x14ac:dyDescent="0.2">
      <c r="A507">
        <v>2024</v>
      </c>
      <c r="B507" t="s">
        <v>139</v>
      </c>
      <c r="C507" t="s">
        <v>141</v>
      </c>
      <c r="D507">
        <v>20</v>
      </c>
      <c r="E507" s="3">
        <v>292258.05345899984</v>
      </c>
    </row>
    <row r="508" spans="1:5" x14ac:dyDescent="0.2">
      <c r="A508">
        <v>2024</v>
      </c>
      <c r="B508" t="s">
        <v>139</v>
      </c>
      <c r="C508" t="s">
        <v>141</v>
      </c>
      <c r="D508">
        <v>21</v>
      </c>
      <c r="E508" s="3">
        <v>219556.72403099985</v>
      </c>
    </row>
    <row r="509" spans="1:5" x14ac:dyDescent="0.2">
      <c r="A509">
        <v>2024</v>
      </c>
      <c r="B509" t="s">
        <v>139</v>
      </c>
      <c r="C509" t="s">
        <v>141</v>
      </c>
      <c r="D509">
        <v>22</v>
      </c>
      <c r="E509" s="3">
        <v>221987.65606199994</v>
      </c>
    </row>
    <row r="510" spans="1:5" x14ac:dyDescent="0.2">
      <c r="A510">
        <v>2024</v>
      </c>
      <c r="B510" t="s">
        <v>139</v>
      </c>
      <c r="C510" t="s">
        <v>141</v>
      </c>
      <c r="D510">
        <v>23</v>
      </c>
      <c r="E510" s="3">
        <v>227410.79112199988</v>
      </c>
    </row>
    <row r="511" spans="1:5" x14ac:dyDescent="0.2">
      <c r="A511">
        <v>2024</v>
      </c>
      <c r="B511" t="s">
        <v>139</v>
      </c>
      <c r="C511" t="s">
        <v>141</v>
      </c>
      <c r="D511">
        <v>24</v>
      </c>
      <c r="E511" s="3">
        <v>234406.49290399993</v>
      </c>
    </row>
    <row r="512" spans="1:5" x14ac:dyDescent="0.2">
      <c r="A512">
        <v>2024</v>
      </c>
      <c r="B512" t="s">
        <v>139</v>
      </c>
      <c r="C512" t="s">
        <v>141</v>
      </c>
      <c r="D512">
        <v>25</v>
      </c>
      <c r="E512" s="3">
        <v>443465.79531599965</v>
      </c>
    </row>
    <row r="513" spans="1:5" x14ac:dyDescent="0.2">
      <c r="A513">
        <v>2024</v>
      </c>
      <c r="B513" t="s">
        <v>139</v>
      </c>
      <c r="C513" t="s">
        <v>141</v>
      </c>
      <c r="D513">
        <v>26</v>
      </c>
      <c r="E513" s="3">
        <v>441925.61352399975</v>
      </c>
    </row>
    <row r="514" spans="1:5" x14ac:dyDescent="0.2">
      <c r="A514">
        <v>2024</v>
      </c>
      <c r="B514" t="s">
        <v>139</v>
      </c>
      <c r="C514" t="s">
        <v>141</v>
      </c>
      <c r="D514">
        <v>27</v>
      </c>
      <c r="E514" s="3">
        <v>346409.12252000015</v>
      </c>
    </row>
    <row r="515" spans="1:5" x14ac:dyDescent="0.2">
      <c r="A515">
        <v>2024</v>
      </c>
      <c r="B515" t="s">
        <v>139</v>
      </c>
      <c r="C515" t="s">
        <v>141</v>
      </c>
      <c r="D515">
        <v>28</v>
      </c>
      <c r="E515" s="3">
        <v>227357.90319299992</v>
      </c>
    </row>
    <row r="516" spans="1:5" x14ac:dyDescent="0.2">
      <c r="A516">
        <v>2024</v>
      </c>
      <c r="B516" t="s">
        <v>139</v>
      </c>
      <c r="C516" t="s">
        <v>141</v>
      </c>
      <c r="D516">
        <v>29</v>
      </c>
      <c r="E516" s="3">
        <v>220746.08013199983</v>
      </c>
    </row>
    <row r="517" spans="1:5" x14ac:dyDescent="0.2">
      <c r="A517">
        <v>2024</v>
      </c>
      <c r="B517" t="s">
        <v>139</v>
      </c>
      <c r="C517" t="s">
        <v>141</v>
      </c>
      <c r="D517">
        <v>30</v>
      </c>
      <c r="E517" s="3">
        <v>220728.63401399995</v>
      </c>
    </row>
    <row r="518" spans="1:5" x14ac:dyDescent="0.2">
      <c r="A518">
        <v>2024</v>
      </c>
      <c r="B518" t="s">
        <v>139</v>
      </c>
      <c r="C518" t="s">
        <v>141</v>
      </c>
      <c r="D518">
        <v>31</v>
      </c>
      <c r="E518" s="3">
        <v>225429.42787099993</v>
      </c>
    </row>
    <row r="519" spans="1:5" x14ac:dyDescent="0.2">
      <c r="A519">
        <v>2024</v>
      </c>
      <c r="B519" t="s">
        <v>139</v>
      </c>
      <c r="C519" t="s">
        <v>142</v>
      </c>
      <c r="D519">
        <v>1</v>
      </c>
      <c r="E519" s="3">
        <v>388925.84749199986</v>
      </c>
    </row>
    <row r="520" spans="1:5" x14ac:dyDescent="0.2">
      <c r="A520">
        <v>2024</v>
      </c>
      <c r="B520" t="s">
        <v>139</v>
      </c>
      <c r="C520" t="s">
        <v>142</v>
      </c>
      <c r="D520">
        <v>2</v>
      </c>
      <c r="E520" s="3">
        <v>420724.72014000005</v>
      </c>
    </row>
    <row r="521" spans="1:5" x14ac:dyDescent="0.2">
      <c r="A521">
        <v>2024</v>
      </c>
      <c r="B521" t="s">
        <v>139</v>
      </c>
      <c r="C521" t="s">
        <v>142</v>
      </c>
      <c r="D521">
        <v>3</v>
      </c>
      <c r="E521" s="3">
        <v>205425.97453200002</v>
      </c>
    </row>
    <row r="522" spans="1:5" x14ac:dyDescent="0.2">
      <c r="A522">
        <v>2024</v>
      </c>
      <c r="B522" t="s">
        <v>139</v>
      </c>
      <c r="C522" t="s">
        <v>142</v>
      </c>
      <c r="D522">
        <v>4</v>
      </c>
      <c r="E522" s="3">
        <v>204725.86248199979</v>
      </c>
    </row>
    <row r="523" spans="1:5" x14ac:dyDescent="0.2">
      <c r="A523">
        <v>2024</v>
      </c>
      <c r="B523" t="s">
        <v>139</v>
      </c>
      <c r="C523" t="s">
        <v>142</v>
      </c>
      <c r="D523">
        <v>5</v>
      </c>
      <c r="E523" s="3">
        <v>202109.78175399988</v>
      </c>
    </row>
    <row r="524" spans="1:5" x14ac:dyDescent="0.2">
      <c r="A524">
        <v>2024</v>
      </c>
      <c r="B524" t="s">
        <v>139</v>
      </c>
      <c r="C524" t="s">
        <v>142</v>
      </c>
      <c r="D524">
        <v>6</v>
      </c>
      <c r="E524" s="3">
        <v>207345.05462499996</v>
      </c>
    </row>
    <row r="525" spans="1:5" x14ac:dyDescent="0.2">
      <c r="A525">
        <v>2024</v>
      </c>
      <c r="B525" t="s">
        <v>139</v>
      </c>
      <c r="C525" t="s">
        <v>142</v>
      </c>
      <c r="D525">
        <v>7</v>
      </c>
      <c r="E525" s="3">
        <v>210042.83963199993</v>
      </c>
    </row>
    <row r="526" spans="1:5" x14ac:dyDescent="0.2">
      <c r="A526">
        <v>2024</v>
      </c>
      <c r="B526" t="s">
        <v>139</v>
      </c>
      <c r="C526" t="s">
        <v>142</v>
      </c>
      <c r="D526">
        <v>8</v>
      </c>
      <c r="E526" s="3">
        <v>407174.71754299989</v>
      </c>
    </row>
    <row r="527" spans="1:5" x14ac:dyDescent="0.2">
      <c r="A527">
        <v>2024</v>
      </c>
      <c r="B527" t="s">
        <v>139</v>
      </c>
      <c r="C527" t="s">
        <v>142</v>
      </c>
      <c r="D527">
        <v>9</v>
      </c>
      <c r="E527" s="3">
        <v>423546.25732499996</v>
      </c>
    </row>
    <row r="528" spans="1:5" x14ac:dyDescent="0.2">
      <c r="A528">
        <v>2024</v>
      </c>
      <c r="B528" t="s">
        <v>139</v>
      </c>
      <c r="C528" t="s">
        <v>142</v>
      </c>
      <c r="D528">
        <v>10</v>
      </c>
      <c r="E528" s="3">
        <v>351849.4346889999</v>
      </c>
    </row>
    <row r="529" spans="1:5" x14ac:dyDescent="0.2">
      <c r="A529">
        <v>2024</v>
      </c>
      <c r="B529" t="s">
        <v>139</v>
      </c>
      <c r="C529" t="s">
        <v>142</v>
      </c>
      <c r="D529">
        <v>11</v>
      </c>
      <c r="E529" s="3">
        <v>202766.09294999996</v>
      </c>
    </row>
    <row r="530" spans="1:5" x14ac:dyDescent="0.2">
      <c r="A530">
        <v>2024</v>
      </c>
      <c r="B530" t="s">
        <v>139</v>
      </c>
      <c r="C530" t="s">
        <v>142</v>
      </c>
      <c r="D530">
        <v>12</v>
      </c>
      <c r="E530" s="3">
        <v>211005.41109999991</v>
      </c>
    </row>
    <row r="531" spans="1:5" x14ac:dyDescent="0.2">
      <c r="A531">
        <v>2024</v>
      </c>
      <c r="B531" t="s">
        <v>139</v>
      </c>
      <c r="C531" t="s">
        <v>142</v>
      </c>
      <c r="D531">
        <v>13</v>
      </c>
      <c r="E531" s="3">
        <v>211643.69609999988</v>
      </c>
    </row>
    <row r="532" spans="1:5" x14ac:dyDescent="0.2">
      <c r="A532">
        <v>2024</v>
      </c>
      <c r="B532" t="s">
        <v>139</v>
      </c>
      <c r="C532" t="s">
        <v>142</v>
      </c>
      <c r="D532">
        <v>14</v>
      </c>
      <c r="E532" s="3">
        <v>208307.65504999986</v>
      </c>
    </row>
    <row r="533" spans="1:5" x14ac:dyDescent="0.2">
      <c r="A533">
        <v>2024</v>
      </c>
      <c r="B533" t="s">
        <v>139</v>
      </c>
      <c r="C533" t="s">
        <v>142</v>
      </c>
      <c r="D533">
        <v>15</v>
      </c>
      <c r="E533" s="3">
        <v>410697.95570000005</v>
      </c>
    </row>
    <row r="534" spans="1:5" x14ac:dyDescent="0.2">
      <c r="A534">
        <v>2024</v>
      </c>
      <c r="B534" t="s">
        <v>139</v>
      </c>
      <c r="C534" t="s">
        <v>142</v>
      </c>
      <c r="D534">
        <v>16</v>
      </c>
      <c r="E534" s="3">
        <v>434405.49020000017</v>
      </c>
    </row>
    <row r="535" spans="1:5" x14ac:dyDescent="0.2">
      <c r="A535">
        <v>2024</v>
      </c>
      <c r="B535" t="s">
        <v>139</v>
      </c>
      <c r="C535" t="s">
        <v>142</v>
      </c>
      <c r="D535">
        <v>17</v>
      </c>
      <c r="E535" s="3">
        <v>209253.69775000005</v>
      </c>
    </row>
    <row r="536" spans="1:5" x14ac:dyDescent="0.2">
      <c r="A536">
        <v>2024</v>
      </c>
      <c r="B536" t="s">
        <v>139</v>
      </c>
      <c r="C536" t="s">
        <v>142</v>
      </c>
      <c r="D536">
        <v>18</v>
      </c>
      <c r="E536" s="3">
        <v>197998.02069999999</v>
      </c>
    </row>
    <row r="537" spans="1:5" x14ac:dyDescent="0.2">
      <c r="A537">
        <v>2024</v>
      </c>
      <c r="B537" t="s">
        <v>139</v>
      </c>
      <c r="C537" t="s">
        <v>142</v>
      </c>
      <c r="D537">
        <v>19</v>
      </c>
      <c r="E537" s="3">
        <v>209146.13864999998</v>
      </c>
    </row>
    <row r="538" spans="1:5" x14ac:dyDescent="0.2">
      <c r="A538">
        <v>2024</v>
      </c>
      <c r="B538" t="s">
        <v>139</v>
      </c>
      <c r="C538" t="s">
        <v>142</v>
      </c>
      <c r="D538">
        <v>20</v>
      </c>
      <c r="E538" s="3">
        <v>203841.68634999992</v>
      </c>
    </row>
    <row r="539" spans="1:5" x14ac:dyDescent="0.2">
      <c r="A539">
        <v>2024</v>
      </c>
      <c r="B539" t="s">
        <v>139</v>
      </c>
      <c r="C539" t="s">
        <v>142</v>
      </c>
      <c r="D539">
        <v>21</v>
      </c>
      <c r="E539" s="3">
        <v>213662.80299999993</v>
      </c>
    </row>
    <row r="540" spans="1:5" x14ac:dyDescent="0.2">
      <c r="A540">
        <v>2024</v>
      </c>
      <c r="B540" t="s">
        <v>139</v>
      </c>
      <c r="C540" t="s">
        <v>142</v>
      </c>
      <c r="D540">
        <v>22</v>
      </c>
      <c r="E540" s="3">
        <v>413317.13699999987</v>
      </c>
    </row>
    <row r="541" spans="1:5" x14ac:dyDescent="0.2">
      <c r="A541">
        <v>2024</v>
      </c>
      <c r="B541" t="s">
        <v>139</v>
      </c>
      <c r="C541" t="s">
        <v>142</v>
      </c>
      <c r="D541">
        <v>23</v>
      </c>
      <c r="E541" s="3">
        <v>420705.83895000024</v>
      </c>
    </row>
    <row r="542" spans="1:5" x14ac:dyDescent="0.2">
      <c r="A542">
        <v>2024</v>
      </c>
      <c r="B542" t="s">
        <v>139</v>
      </c>
      <c r="C542" t="s">
        <v>142</v>
      </c>
      <c r="D542">
        <v>24</v>
      </c>
      <c r="E542" s="3">
        <v>206710.85784999997</v>
      </c>
    </row>
    <row r="543" spans="1:5" x14ac:dyDescent="0.2">
      <c r="A543">
        <v>2024</v>
      </c>
      <c r="B543" t="s">
        <v>139</v>
      </c>
      <c r="C543" t="s">
        <v>142</v>
      </c>
      <c r="D543">
        <v>25</v>
      </c>
      <c r="E543" s="3">
        <v>212782.80194999982</v>
      </c>
    </row>
    <row r="544" spans="1:5" x14ac:dyDescent="0.2">
      <c r="A544">
        <v>2024</v>
      </c>
      <c r="B544" t="s">
        <v>139</v>
      </c>
      <c r="C544" t="s">
        <v>142</v>
      </c>
      <c r="D544">
        <v>26</v>
      </c>
      <c r="E544" s="3">
        <v>208554.14634999997</v>
      </c>
    </row>
    <row r="545" spans="1:5" x14ac:dyDescent="0.2">
      <c r="A545">
        <v>2024</v>
      </c>
      <c r="B545" t="s">
        <v>139</v>
      </c>
      <c r="C545" t="s">
        <v>142</v>
      </c>
      <c r="D545">
        <v>27</v>
      </c>
      <c r="E545" s="3">
        <v>214330.14459999997</v>
      </c>
    </row>
    <row r="546" spans="1:5" x14ac:dyDescent="0.2">
      <c r="A546">
        <v>2024</v>
      </c>
      <c r="B546" t="s">
        <v>139</v>
      </c>
      <c r="C546" t="s">
        <v>142</v>
      </c>
      <c r="D546">
        <v>28</v>
      </c>
      <c r="E546" s="3">
        <v>196365.6821500001</v>
      </c>
    </row>
    <row r="547" spans="1:5" x14ac:dyDescent="0.2">
      <c r="A547">
        <v>2024</v>
      </c>
      <c r="B547" t="s">
        <v>139</v>
      </c>
      <c r="C547" t="s">
        <v>142</v>
      </c>
      <c r="D547">
        <v>29</v>
      </c>
      <c r="E547" s="3">
        <v>409466.11799999996</v>
      </c>
    </row>
    <row r="548" spans="1:5" x14ac:dyDescent="0.2">
      <c r="A548">
        <v>2024</v>
      </c>
      <c r="B548" t="s">
        <v>139</v>
      </c>
      <c r="C548" t="s">
        <v>142</v>
      </c>
      <c r="D548">
        <v>30</v>
      </c>
      <c r="E548" s="3">
        <v>400423.10310000001</v>
      </c>
    </row>
    <row r="549" spans="1:5" x14ac:dyDescent="0.2">
      <c r="A549">
        <v>2024</v>
      </c>
      <c r="B549" t="s">
        <v>143</v>
      </c>
      <c r="C549" t="s">
        <v>144</v>
      </c>
      <c r="D549">
        <v>1</v>
      </c>
      <c r="E549" s="3">
        <v>184663.60589999991</v>
      </c>
    </row>
    <row r="550" spans="1:5" x14ac:dyDescent="0.2">
      <c r="A550">
        <v>2024</v>
      </c>
      <c r="B550" t="s">
        <v>143</v>
      </c>
      <c r="C550" t="s">
        <v>144</v>
      </c>
      <c r="D550">
        <v>2</v>
      </c>
      <c r="E550" s="3">
        <v>185069.436865</v>
      </c>
    </row>
    <row r="551" spans="1:5" x14ac:dyDescent="0.2">
      <c r="A551">
        <v>2024</v>
      </c>
      <c r="B551" t="s">
        <v>143</v>
      </c>
      <c r="C551" t="s">
        <v>144</v>
      </c>
      <c r="D551">
        <v>3</v>
      </c>
      <c r="E551" s="3">
        <v>189688.86007499992</v>
      </c>
    </row>
    <row r="552" spans="1:5" x14ac:dyDescent="0.2">
      <c r="A552">
        <v>2024</v>
      </c>
      <c r="B552" t="s">
        <v>143</v>
      </c>
      <c r="C552" t="s">
        <v>144</v>
      </c>
      <c r="D552">
        <v>4</v>
      </c>
      <c r="E552" s="3">
        <v>258865.77274499994</v>
      </c>
    </row>
    <row r="553" spans="1:5" x14ac:dyDescent="0.2">
      <c r="A553">
        <v>2024</v>
      </c>
      <c r="B553" t="s">
        <v>143</v>
      </c>
      <c r="C553" t="s">
        <v>144</v>
      </c>
      <c r="D553">
        <v>5</v>
      </c>
      <c r="E553" s="3">
        <v>189472.85722499996</v>
      </c>
    </row>
    <row r="554" spans="1:5" x14ac:dyDescent="0.2">
      <c r="A554">
        <v>2024</v>
      </c>
      <c r="B554" t="s">
        <v>143</v>
      </c>
      <c r="C554" t="s">
        <v>144</v>
      </c>
      <c r="D554">
        <v>6</v>
      </c>
      <c r="E554" s="3">
        <v>372506.88281500002</v>
      </c>
    </row>
    <row r="555" spans="1:5" x14ac:dyDescent="0.2">
      <c r="A555">
        <v>2024</v>
      </c>
      <c r="B555" t="s">
        <v>143</v>
      </c>
      <c r="C555" t="s">
        <v>144</v>
      </c>
      <c r="D555">
        <v>7</v>
      </c>
      <c r="E555" s="3">
        <v>370019.01702000009</v>
      </c>
    </row>
    <row r="556" spans="1:5" x14ac:dyDescent="0.2">
      <c r="A556">
        <v>2024</v>
      </c>
      <c r="B556" t="s">
        <v>143</v>
      </c>
      <c r="C556" t="s">
        <v>144</v>
      </c>
      <c r="D556">
        <v>8</v>
      </c>
      <c r="E556" s="3">
        <v>189268.28649999999</v>
      </c>
    </row>
    <row r="557" spans="1:5" x14ac:dyDescent="0.2">
      <c r="A557">
        <v>2024</v>
      </c>
      <c r="B557" t="s">
        <v>143</v>
      </c>
      <c r="C557" t="s">
        <v>144</v>
      </c>
      <c r="D557">
        <v>9</v>
      </c>
      <c r="E557" s="3">
        <v>187873.30887999988</v>
      </c>
    </row>
    <row r="558" spans="1:5" x14ac:dyDescent="0.2">
      <c r="A558">
        <v>2024</v>
      </c>
      <c r="B558" t="s">
        <v>143</v>
      </c>
      <c r="C558" t="s">
        <v>144</v>
      </c>
      <c r="D558">
        <v>10</v>
      </c>
      <c r="E558" s="3">
        <v>181926.11393499991</v>
      </c>
    </row>
    <row r="559" spans="1:5" x14ac:dyDescent="0.2">
      <c r="A559">
        <v>2024</v>
      </c>
      <c r="B559" t="s">
        <v>143</v>
      </c>
      <c r="C559" t="s">
        <v>144</v>
      </c>
      <c r="D559">
        <v>11</v>
      </c>
      <c r="E559" s="3">
        <v>191911.71828999996</v>
      </c>
    </row>
    <row r="560" spans="1:5" x14ac:dyDescent="0.2">
      <c r="A560">
        <v>2024</v>
      </c>
      <c r="B560" t="s">
        <v>143</v>
      </c>
      <c r="C560" t="s">
        <v>144</v>
      </c>
      <c r="D560">
        <v>12</v>
      </c>
      <c r="E560" s="3">
        <v>187378.42224999992</v>
      </c>
    </row>
    <row r="561" spans="1:5" x14ac:dyDescent="0.2">
      <c r="A561">
        <v>2024</v>
      </c>
      <c r="B561" t="s">
        <v>143</v>
      </c>
      <c r="C561" t="s">
        <v>144</v>
      </c>
      <c r="D561">
        <v>13</v>
      </c>
      <c r="E561" s="3">
        <v>372171.3877000002</v>
      </c>
    </row>
    <row r="562" spans="1:5" x14ac:dyDescent="0.2">
      <c r="A562">
        <v>2024</v>
      </c>
      <c r="B562" t="s">
        <v>143</v>
      </c>
      <c r="C562" t="s">
        <v>144</v>
      </c>
      <c r="D562">
        <v>14</v>
      </c>
      <c r="E562" s="3">
        <v>418016.05042999994</v>
      </c>
    </row>
    <row r="563" spans="1:5" x14ac:dyDescent="0.2">
      <c r="A563">
        <v>2024</v>
      </c>
      <c r="B563" t="s">
        <v>143</v>
      </c>
      <c r="C563" t="s">
        <v>144</v>
      </c>
      <c r="D563">
        <v>15</v>
      </c>
      <c r="E563" s="3">
        <v>184204.09289999996</v>
      </c>
    </row>
    <row r="564" spans="1:5" x14ac:dyDescent="0.2">
      <c r="A564">
        <v>2024</v>
      </c>
      <c r="B564" t="s">
        <v>143</v>
      </c>
      <c r="C564" t="s">
        <v>144</v>
      </c>
      <c r="D564">
        <v>16</v>
      </c>
      <c r="E564" s="3">
        <v>188979.12845999995</v>
      </c>
    </row>
    <row r="565" spans="1:5" x14ac:dyDescent="0.2">
      <c r="A565">
        <v>2024</v>
      </c>
      <c r="B565" t="s">
        <v>143</v>
      </c>
      <c r="C565" t="s">
        <v>144</v>
      </c>
      <c r="D565">
        <v>17</v>
      </c>
      <c r="E565" s="3">
        <v>185932.06271999993</v>
      </c>
    </row>
    <row r="566" spans="1:5" x14ac:dyDescent="0.2">
      <c r="A566">
        <v>2024</v>
      </c>
      <c r="B566" t="s">
        <v>143</v>
      </c>
      <c r="C566" t="s">
        <v>144</v>
      </c>
      <c r="D566">
        <v>18</v>
      </c>
      <c r="E566" s="3">
        <v>186216.83528499986</v>
      </c>
    </row>
    <row r="567" spans="1:5" x14ac:dyDescent="0.2">
      <c r="A567">
        <v>2024</v>
      </c>
      <c r="B567" t="s">
        <v>143</v>
      </c>
      <c r="C567" t="s">
        <v>144</v>
      </c>
      <c r="D567">
        <v>19</v>
      </c>
      <c r="E567" s="3">
        <v>184843.39815499994</v>
      </c>
    </row>
    <row r="568" spans="1:5" x14ac:dyDescent="0.2">
      <c r="A568">
        <v>2024</v>
      </c>
      <c r="B568" t="s">
        <v>143</v>
      </c>
      <c r="C568" t="s">
        <v>144</v>
      </c>
      <c r="D568">
        <v>20</v>
      </c>
      <c r="E568" s="3">
        <v>348139.50655999989</v>
      </c>
    </row>
    <row r="569" spans="1:5" x14ac:dyDescent="0.2">
      <c r="A569">
        <v>2024</v>
      </c>
      <c r="B569" t="s">
        <v>143</v>
      </c>
      <c r="C569" t="s">
        <v>144</v>
      </c>
      <c r="D569">
        <v>21</v>
      </c>
      <c r="E569" s="3">
        <v>369758.54113499995</v>
      </c>
    </row>
    <row r="570" spans="1:5" x14ac:dyDescent="0.2">
      <c r="A570">
        <v>2024</v>
      </c>
      <c r="B570" t="s">
        <v>143</v>
      </c>
      <c r="C570" t="s">
        <v>144</v>
      </c>
      <c r="D570">
        <v>22</v>
      </c>
      <c r="E570" s="3">
        <v>184328.18429499993</v>
      </c>
    </row>
    <row r="571" spans="1:5" x14ac:dyDescent="0.2">
      <c r="A571">
        <v>2024</v>
      </c>
      <c r="B571" t="s">
        <v>143</v>
      </c>
      <c r="C571" t="s">
        <v>144</v>
      </c>
      <c r="D571">
        <v>23</v>
      </c>
      <c r="E571" s="3">
        <v>195036.35719999991</v>
      </c>
    </row>
    <row r="572" spans="1:5" x14ac:dyDescent="0.2">
      <c r="A572">
        <v>2024</v>
      </c>
      <c r="B572" t="s">
        <v>143</v>
      </c>
      <c r="C572" t="s">
        <v>144</v>
      </c>
      <c r="D572">
        <v>24</v>
      </c>
      <c r="E572" s="3">
        <v>187880.80196999991</v>
      </c>
    </row>
    <row r="573" spans="1:5" x14ac:dyDescent="0.2">
      <c r="A573">
        <v>2024</v>
      </c>
      <c r="B573" t="s">
        <v>143</v>
      </c>
      <c r="C573" t="s">
        <v>144</v>
      </c>
      <c r="D573">
        <v>25</v>
      </c>
      <c r="E573" s="3">
        <v>191640.09749999997</v>
      </c>
    </row>
    <row r="574" spans="1:5" x14ac:dyDescent="0.2">
      <c r="A574">
        <v>2024</v>
      </c>
      <c r="B574" t="s">
        <v>143</v>
      </c>
      <c r="C574" t="s">
        <v>144</v>
      </c>
      <c r="D574">
        <v>26</v>
      </c>
      <c r="E574" s="3">
        <v>190376.77970499996</v>
      </c>
    </row>
    <row r="575" spans="1:5" x14ac:dyDescent="0.2">
      <c r="A575">
        <v>2024</v>
      </c>
      <c r="B575" t="s">
        <v>143</v>
      </c>
      <c r="C575" t="s">
        <v>144</v>
      </c>
      <c r="D575">
        <v>27</v>
      </c>
      <c r="E575" s="3">
        <v>366690.39307499997</v>
      </c>
    </row>
    <row r="576" spans="1:5" x14ac:dyDescent="0.2">
      <c r="A576">
        <v>2024</v>
      </c>
      <c r="B576" t="s">
        <v>143</v>
      </c>
      <c r="C576" t="s">
        <v>144</v>
      </c>
      <c r="D576">
        <v>28</v>
      </c>
      <c r="E576" s="3">
        <v>374648.41705500009</v>
      </c>
    </row>
    <row r="577" spans="1:5" x14ac:dyDescent="0.2">
      <c r="A577">
        <v>2024</v>
      </c>
      <c r="B577" t="s">
        <v>143</v>
      </c>
      <c r="C577" t="s">
        <v>144</v>
      </c>
      <c r="D577">
        <v>29</v>
      </c>
      <c r="E577" s="3">
        <v>191994.03251999983</v>
      </c>
    </row>
    <row r="578" spans="1:5" x14ac:dyDescent="0.2">
      <c r="A578">
        <v>2024</v>
      </c>
      <c r="B578" t="s">
        <v>143</v>
      </c>
      <c r="C578" t="s">
        <v>144</v>
      </c>
      <c r="D578">
        <v>30</v>
      </c>
      <c r="E578" s="3">
        <v>190514.26731999998</v>
      </c>
    </row>
    <row r="579" spans="1:5" x14ac:dyDescent="0.2">
      <c r="A579">
        <v>2024</v>
      </c>
      <c r="B579" t="s">
        <v>143</v>
      </c>
      <c r="C579" t="s">
        <v>144</v>
      </c>
      <c r="D579">
        <v>31</v>
      </c>
      <c r="E579" s="3">
        <v>184435.61817499984</v>
      </c>
    </row>
    <row r="580" spans="1:5" x14ac:dyDescent="0.2">
      <c r="A580">
        <v>2024</v>
      </c>
      <c r="B580" t="s">
        <v>143</v>
      </c>
      <c r="C580" t="s">
        <v>145</v>
      </c>
      <c r="D580">
        <v>1</v>
      </c>
      <c r="E580" s="3">
        <v>195717.66473499991</v>
      </c>
    </row>
    <row r="581" spans="1:5" x14ac:dyDescent="0.2">
      <c r="A581">
        <v>2024</v>
      </c>
      <c r="B581" t="s">
        <v>143</v>
      </c>
      <c r="C581" t="s">
        <v>145</v>
      </c>
      <c r="D581">
        <v>2</v>
      </c>
      <c r="E581" s="3">
        <v>188379.55402999988</v>
      </c>
    </row>
    <row r="582" spans="1:5" x14ac:dyDescent="0.2">
      <c r="A582">
        <v>2024</v>
      </c>
      <c r="B582" t="s">
        <v>143</v>
      </c>
      <c r="C582" t="s">
        <v>145</v>
      </c>
      <c r="D582">
        <v>3</v>
      </c>
      <c r="E582" s="3">
        <v>379667.27936499973</v>
      </c>
    </row>
    <row r="583" spans="1:5" x14ac:dyDescent="0.2">
      <c r="A583">
        <v>2024</v>
      </c>
      <c r="B583" t="s">
        <v>143</v>
      </c>
      <c r="C583" t="s">
        <v>145</v>
      </c>
      <c r="D583">
        <v>4</v>
      </c>
      <c r="E583" s="3">
        <v>372518.7678499996</v>
      </c>
    </row>
    <row r="584" spans="1:5" x14ac:dyDescent="0.2">
      <c r="A584">
        <v>2024</v>
      </c>
      <c r="B584" t="s">
        <v>143</v>
      </c>
      <c r="C584" t="s">
        <v>145</v>
      </c>
      <c r="D584">
        <v>5</v>
      </c>
      <c r="E584" s="3">
        <v>186793.09196999995</v>
      </c>
    </row>
    <row r="585" spans="1:5" x14ac:dyDescent="0.2">
      <c r="A585">
        <v>2024</v>
      </c>
      <c r="B585" t="s">
        <v>143</v>
      </c>
      <c r="C585" t="s">
        <v>145</v>
      </c>
      <c r="D585">
        <v>6</v>
      </c>
      <c r="E585" s="3">
        <v>186804.12216499995</v>
      </c>
    </row>
    <row r="586" spans="1:5" x14ac:dyDescent="0.2">
      <c r="A586">
        <v>2024</v>
      </c>
      <c r="B586" t="s">
        <v>143</v>
      </c>
      <c r="C586" t="s">
        <v>145</v>
      </c>
      <c r="D586">
        <v>7</v>
      </c>
      <c r="E586" s="3">
        <v>190236.13472999999</v>
      </c>
    </row>
    <row r="587" spans="1:5" x14ac:dyDescent="0.2">
      <c r="A587">
        <v>2024</v>
      </c>
      <c r="B587" t="s">
        <v>143</v>
      </c>
      <c r="C587" t="s">
        <v>145</v>
      </c>
      <c r="D587">
        <v>8</v>
      </c>
      <c r="E587" s="3">
        <v>186680.94526999991</v>
      </c>
    </row>
    <row r="588" spans="1:5" x14ac:dyDescent="0.2">
      <c r="A588">
        <v>2024</v>
      </c>
      <c r="B588" t="s">
        <v>143</v>
      </c>
      <c r="C588" t="s">
        <v>145</v>
      </c>
      <c r="D588">
        <v>9</v>
      </c>
      <c r="E588" s="3">
        <v>194075.95033999992</v>
      </c>
    </row>
    <row r="589" spans="1:5" x14ac:dyDescent="0.2">
      <c r="A589">
        <v>2024</v>
      </c>
      <c r="B589" t="s">
        <v>143</v>
      </c>
      <c r="C589" t="s">
        <v>145</v>
      </c>
      <c r="D589">
        <v>10</v>
      </c>
      <c r="E589" s="3">
        <v>394172.24124499975</v>
      </c>
    </row>
    <row r="590" spans="1:5" x14ac:dyDescent="0.2">
      <c r="A590">
        <v>2024</v>
      </c>
      <c r="B590" t="s">
        <v>143</v>
      </c>
      <c r="C590" t="s">
        <v>145</v>
      </c>
      <c r="D590">
        <v>11</v>
      </c>
      <c r="E590" s="3">
        <v>391106.09341999964</v>
      </c>
    </row>
    <row r="591" spans="1:5" x14ac:dyDescent="0.2">
      <c r="A591">
        <v>2024</v>
      </c>
      <c r="B591" t="s">
        <v>143</v>
      </c>
      <c r="C591" t="s">
        <v>145</v>
      </c>
      <c r="D591">
        <v>12</v>
      </c>
      <c r="E591" s="3">
        <v>190509.75004999992</v>
      </c>
    </row>
    <row r="592" spans="1:5" x14ac:dyDescent="0.2">
      <c r="A592">
        <v>2024</v>
      </c>
      <c r="B592" t="s">
        <v>143</v>
      </c>
      <c r="C592" t="s">
        <v>145</v>
      </c>
      <c r="D592">
        <v>13</v>
      </c>
      <c r="E592" s="3">
        <v>190997.85448999994</v>
      </c>
    </row>
    <row r="593" spans="1:5" x14ac:dyDescent="0.2">
      <c r="A593">
        <v>2024</v>
      </c>
      <c r="B593" t="s">
        <v>143</v>
      </c>
      <c r="C593" t="s">
        <v>145</v>
      </c>
      <c r="D593">
        <v>14</v>
      </c>
      <c r="E593" s="3">
        <v>182180.15153499987</v>
      </c>
    </row>
    <row r="594" spans="1:5" x14ac:dyDescent="0.2">
      <c r="A594">
        <v>2024</v>
      </c>
      <c r="B594" t="s">
        <v>143</v>
      </c>
      <c r="C594" t="s">
        <v>145</v>
      </c>
      <c r="D594">
        <v>15</v>
      </c>
      <c r="E594" s="3">
        <v>260839.34415499994</v>
      </c>
    </row>
    <row r="595" spans="1:5" x14ac:dyDescent="0.2">
      <c r="A595">
        <v>2024</v>
      </c>
      <c r="B595" t="s">
        <v>143</v>
      </c>
      <c r="C595" t="s">
        <v>145</v>
      </c>
      <c r="D595">
        <v>16</v>
      </c>
      <c r="E595" s="3">
        <v>190785.90599</v>
      </c>
    </row>
    <row r="596" spans="1:5" x14ac:dyDescent="0.2">
      <c r="A596">
        <v>2024</v>
      </c>
      <c r="B596" t="s">
        <v>143</v>
      </c>
      <c r="C596" t="s">
        <v>145</v>
      </c>
      <c r="D596">
        <v>17</v>
      </c>
      <c r="E596" s="3">
        <v>378785.08132999978</v>
      </c>
    </row>
    <row r="597" spans="1:5" x14ac:dyDescent="0.2">
      <c r="A597">
        <v>2024</v>
      </c>
      <c r="B597" t="s">
        <v>143</v>
      </c>
      <c r="C597" t="s">
        <v>145</v>
      </c>
      <c r="D597">
        <v>18</v>
      </c>
      <c r="E597" s="3">
        <v>371620.4796949997</v>
      </c>
    </row>
    <row r="598" spans="1:5" x14ac:dyDescent="0.2">
      <c r="A598">
        <v>2024</v>
      </c>
      <c r="B598" t="s">
        <v>143</v>
      </c>
      <c r="C598" t="s">
        <v>145</v>
      </c>
      <c r="D598">
        <v>19</v>
      </c>
      <c r="E598" s="3">
        <v>189378.13844499993</v>
      </c>
    </row>
    <row r="599" spans="1:5" x14ac:dyDescent="0.2">
      <c r="A599">
        <v>2024</v>
      </c>
      <c r="B599" t="s">
        <v>143</v>
      </c>
      <c r="C599" t="s">
        <v>145</v>
      </c>
      <c r="D599">
        <v>20</v>
      </c>
      <c r="E599" s="3">
        <v>186703.88796999998</v>
      </c>
    </row>
    <row r="600" spans="1:5" x14ac:dyDescent="0.2">
      <c r="A600">
        <v>2024</v>
      </c>
      <c r="B600" t="s">
        <v>143</v>
      </c>
      <c r="C600" t="s">
        <v>145</v>
      </c>
      <c r="D600">
        <v>21</v>
      </c>
      <c r="E600" s="3">
        <v>192985.43876499988</v>
      </c>
    </row>
    <row r="601" spans="1:5" x14ac:dyDescent="0.2">
      <c r="A601">
        <v>2024</v>
      </c>
      <c r="B601" t="s">
        <v>143</v>
      </c>
      <c r="C601" t="s">
        <v>145</v>
      </c>
      <c r="D601">
        <v>22</v>
      </c>
      <c r="E601" s="3">
        <v>185301.86649499997</v>
      </c>
    </row>
    <row r="602" spans="1:5" x14ac:dyDescent="0.2">
      <c r="A602">
        <v>2024</v>
      </c>
      <c r="B602" t="s">
        <v>143</v>
      </c>
      <c r="C602" t="s">
        <v>145</v>
      </c>
      <c r="D602">
        <v>23</v>
      </c>
      <c r="E602" s="3">
        <v>188859.27188499997</v>
      </c>
    </row>
    <row r="603" spans="1:5" x14ac:dyDescent="0.2">
      <c r="A603">
        <v>2024</v>
      </c>
      <c r="B603" t="s">
        <v>143</v>
      </c>
      <c r="C603" t="s">
        <v>145</v>
      </c>
      <c r="D603">
        <v>24</v>
      </c>
      <c r="E603" s="3">
        <v>374260.93600999977</v>
      </c>
    </row>
    <row r="604" spans="1:5" x14ac:dyDescent="0.2">
      <c r="A604">
        <v>2024</v>
      </c>
      <c r="B604" t="s">
        <v>143</v>
      </c>
      <c r="C604" t="s">
        <v>145</v>
      </c>
      <c r="D604">
        <v>25</v>
      </c>
      <c r="E604" s="3">
        <v>384565.37220499996</v>
      </c>
    </row>
    <row r="605" spans="1:5" x14ac:dyDescent="0.2">
      <c r="A605">
        <v>2024</v>
      </c>
      <c r="B605" t="s">
        <v>143</v>
      </c>
      <c r="C605" t="s">
        <v>145</v>
      </c>
      <c r="D605">
        <v>26</v>
      </c>
      <c r="E605" s="3">
        <v>205622.74270000003</v>
      </c>
    </row>
    <row r="606" spans="1:5" x14ac:dyDescent="0.2">
      <c r="A606">
        <v>2024</v>
      </c>
      <c r="B606" t="s">
        <v>143</v>
      </c>
      <c r="C606" t="s">
        <v>145</v>
      </c>
      <c r="D606">
        <v>27</v>
      </c>
      <c r="E606" s="3">
        <v>195587.63635000002</v>
      </c>
    </row>
    <row r="607" spans="1:5" x14ac:dyDescent="0.2">
      <c r="A607">
        <v>2024</v>
      </c>
      <c r="B607" t="s">
        <v>143</v>
      </c>
      <c r="C607" t="s">
        <v>145</v>
      </c>
      <c r="D607">
        <v>28</v>
      </c>
      <c r="E607" s="3">
        <v>184158.70243000003</v>
      </c>
    </row>
    <row r="608" spans="1:5" x14ac:dyDescent="0.2">
      <c r="A608">
        <v>2024</v>
      </c>
      <c r="B608" t="s">
        <v>143</v>
      </c>
      <c r="C608" t="s">
        <v>145</v>
      </c>
      <c r="D608">
        <v>29</v>
      </c>
      <c r="E608" s="3">
        <v>197019.81963999991</v>
      </c>
    </row>
    <row r="609" spans="1:5" x14ac:dyDescent="0.2">
      <c r="A609">
        <v>2024</v>
      </c>
      <c r="B609" t="s">
        <v>143</v>
      </c>
      <c r="C609" t="s">
        <v>145</v>
      </c>
      <c r="D609">
        <v>30</v>
      </c>
      <c r="E609" s="3">
        <v>190054.67268499988</v>
      </c>
    </row>
    <row r="610" spans="1:5" x14ac:dyDescent="0.2">
      <c r="A610">
        <v>2024</v>
      </c>
      <c r="B610" t="s">
        <v>143</v>
      </c>
      <c r="C610" t="s">
        <v>145</v>
      </c>
      <c r="D610">
        <v>31</v>
      </c>
      <c r="E610" s="3">
        <v>382961.50217499962</v>
      </c>
    </row>
    <row r="611" spans="1:5" x14ac:dyDescent="0.2">
      <c r="A611">
        <v>2024</v>
      </c>
      <c r="B611" t="s">
        <v>143</v>
      </c>
      <c r="C611" t="s">
        <v>146</v>
      </c>
      <c r="D611">
        <v>1</v>
      </c>
      <c r="E611" s="3">
        <v>879979.63590599713</v>
      </c>
    </row>
    <row r="612" spans="1:5" x14ac:dyDescent="0.2">
      <c r="A612">
        <v>2024</v>
      </c>
      <c r="B612" t="s">
        <v>143</v>
      </c>
      <c r="C612" t="s">
        <v>146</v>
      </c>
      <c r="D612">
        <v>2</v>
      </c>
      <c r="E612" s="3">
        <v>618914.25206099672</v>
      </c>
    </row>
    <row r="613" spans="1:5" x14ac:dyDescent="0.2">
      <c r="A613">
        <v>2024</v>
      </c>
      <c r="B613" t="s">
        <v>143</v>
      </c>
      <c r="C613" t="s">
        <v>146</v>
      </c>
      <c r="D613">
        <v>3</v>
      </c>
      <c r="E613" s="3">
        <v>448771.8817410004</v>
      </c>
    </row>
    <row r="614" spans="1:5" x14ac:dyDescent="0.2">
      <c r="A614">
        <v>2024</v>
      </c>
      <c r="B614" t="s">
        <v>143</v>
      </c>
      <c r="C614" t="s">
        <v>146</v>
      </c>
      <c r="D614">
        <v>4</v>
      </c>
      <c r="E614" s="3">
        <v>437509.17545500014</v>
      </c>
    </row>
    <row r="615" spans="1:5" x14ac:dyDescent="0.2">
      <c r="A615">
        <v>2024</v>
      </c>
      <c r="B615" t="s">
        <v>143</v>
      </c>
      <c r="C615" t="s">
        <v>146</v>
      </c>
      <c r="D615">
        <v>5</v>
      </c>
      <c r="E615" s="3">
        <v>462117.54464300041</v>
      </c>
    </row>
    <row r="616" spans="1:5" x14ac:dyDescent="0.2">
      <c r="A616">
        <v>2024</v>
      </c>
      <c r="B616" t="s">
        <v>143</v>
      </c>
      <c r="C616" t="s">
        <v>146</v>
      </c>
      <c r="D616">
        <v>6</v>
      </c>
      <c r="E616" s="3">
        <v>469843.97377800016</v>
      </c>
    </row>
    <row r="617" spans="1:5" x14ac:dyDescent="0.2">
      <c r="A617">
        <v>2024</v>
      </c>
      <c r="B617" t="s">
        <v>143</v>
      </c>
      <c r="C617" t="s">
        <v>146</v>
      </c>
      <c r="D617">
        <v>7</v>
      </c>
      <c r="E617" s="3">
        <v>929361.84687499551</v>
      </c>
    </row>
    <row r="618" spans="1:5" x14ac:dyDescent="0.2">
      <c r="A618">
        <v>2024</v>
      </c>
      <c r="B618" t="s">
        <v>143</v>
      </c>
      <c r="C618" t="s">
        <v>146</v>
      </c>
      <c r="D618">
        <v>8</v>
      </c>
      <c r="E618" s="3">
        <v>920081.81639999594</v>
      </c>
    </row>
    <row r="619" spans="1:5" x14ac:dyDescent="0.2">
      <c r="A619">
        <v>2024</v>
      </c>
      <c r="B619" t="s">
        <v>143</v>
      </c>
      <c r="C619" t="s">
        <v>146</v>
      </c>
      <c r="D619">
        <v>9</v>
      </c>
      <c r="E619" s="3">
        <v>498934.51822499995</v>
      </c>
    </row>
    <row r="620" spans="1:5" x14ac:dyDescent="0.2">
      <c r="A620">
        <v>2024</v>
      </c>
      <c r="B620" t="s">
        <v>143</v>
      </c>
      <c r="C620" t="s">
        <v>146</v>
      </c>
      <c r="D620">
        <v>10</v>
      </c>
      <c r="E620" s="3">
        <v>438286.75536200003</v>
      </c>
    </row>
    <row r="621" spans="1:5" x14ac:dyDescent="0.2">
      <c r="A621">
        <v>2024</v>
      </c>
      <c r="B621" t="s">
        <v>143</v>
      </c>
      <c r="C621" t="s">
        <v>146</v>
      </c>
      <c r="D621">
        <v>11</v>
      </c>
      <c r="E621" s="3">
        <v>455102.85175199999</v>
      </c>
    </row>
    <row r="622" spans="1:5" x14ac:dyDescent="0.2">
      <c r="A622">
        <v>2024</v>
      </c>
      <c r="B622" t="s">
        <v>143</v>
      </c>
      <c r="C622" t="s">
        <v>146</v>
      </c>
      <c r="D622">
        <v>12</v>
      </c>
      <c r="E622" s="3">
        <v>475229.18833200011</v>
      </c>
    </row>
    <row r="623" spans="1:5" x14ac:dyDescent="0.2">
      <c r="A623">
        <v>2024</v>
      </c>
      <c r="B623" t="s">
        <v>143</v>
      </c>
      <c r="C623" t="s">
        <v>146</v>
      </c>
      <c r="D623">
        <v>13</v>
      </c>
      <c r="E623" s="3">
        <v>465096.78226500028</v>
      </c>
    </row>
    <row r="624" spans="1:5" x14ac:dyDescent="0.2">
      <c r="A624">
        <v>2024</v>
      </c>
      <c r="B624" t="s">
        <v>143</v>
      </c>
      <c r="C624" t="s">
        <v>146</v>
      </c>
      <c r="D624">
        <v>14</v>
      </c>
      <c r="E624" s="3">
        <v>939554.51768799615</v>
      </c>
    </row>
    <row r="625" spans="1:5" x14ac:dyDescent="0.2">
      <c r="A625">
        <v>2024</v>
      </c>
      <c r="B625" t="s">
        <v>143</v>
      </c>
      <c r="C625" t="s">
        <v>146</v>
      </c>
      <c r="D625">
        <v>15</v>
      </c>
      <c r="E625" s="3">
        <v>904181.91642399749</v>
      </c>
    </row>
    <row r="626" spans="1:5" x14ac:dyDescent="0.2">
      <c r="A626">
        <v>2024</v>
      </c>
      <c r="B626" t="s">
        <v>143</v>
      </c>
      <c r="C626" t="s">
        <v>146</v>
      </c>
      <c r="D626">
        <v>16</v>
      </c>
      <c r="E626" s="3">
        <v>350262.17176599987</v>
      </c>
    </row>
    <row r="627" spans="1:5" x14ac:dyDescent="0.2">
      <c r="A627">
        <v>2024</v>
      </c>
      <c r="B627" t="s">
        <v>143</v>
      </c>
      <c r="C627" t="s">
        <v>146</v>
      </c>
      <c r="D627">
        <v>17</v>
      </c>
      <c r="E627" s="3">
        <v>514171.33225100028</v>
      </c>
    </row>
    <row r="628" spans="1:5" x14ac:dyDescent="0.2">
      <c r="A628">
        <v>2024</v>
      </c>
      <c r="B628" t="s">
        <v>143</v>
      </c>
      <c r="C628" t="s">
        <v>146</v>
      </c>
      <c r="D628">
        <v>18</v>
      </c>
      <c r="E628" s="3">
        <v>350671.77741399984</v>
      </c>
    </row>
    <row r="629" spans="1:5" x14ac:dyDescent="0.2">
      <c r="A629">
        <v>2024</v>
      </c>
      <c r="B629" t="s">
        <v>143</v>
      </c>
      <c r="C629" t="s">
        <v>146</v>
      </c>
      <c r="D629">
        <v>19</v>
      </c>
      <c r="E629" s="3">
        <v>347671.13575899997</v>
      </c>
    </row>
    <row r="630" spans="1:5" x14ac:dyDescent="0.2">
      <c r="A630">
        <v>2024</v>
      </c>
      <c r="B630" t="s">
        <v>143</v>
      </c>
      <c r="C630" t="s">
        <v>146</v>
      </c>
      <c r="D630">
        <v>20</v>
      </c>
      <c r="E630" s="3">
        <v>357051.42364399997</v>
      </c>
    </row>
    <row r="631" spans="1:5" x14ac:dyDescent="0.2">
      <c r="A631">
        <v>2024</v>
      </c>
      <c r="B631" t="s">
        <v>143</v>
      </c>
      <c r="C631" t="s">
        <v>146</v>
      </c>
      <c r="D631">
        <v>21</v>
      </c>
      <c r="E631" s="3">
        <v>693153.43495499983</v>
      </c>
    </row>
    <row r="632" spans="1:5" x14ac:dyDescent="0.2">
      <c r="A632">
        <v>2024</v>
      </c>
      <c r="B632" t="s">
        <v>143</v>
      </c>
      <c r="C632" t="s">
        <v>146</v>
      </c>
      <c r="D632">
        <v>22</v>
      </c>
      <c r="E632" s="3">
        <v>687462.77322499955</v>
      </c>
    </row>
    <row r="633" spans="1:5" x14ac:dyDescent="0.2">
      <c r="A633">
        <v>2024</v>
      </c>
      <c r="B633" t="s">
        <v>143</v>
      </c>
      <c r="C633" t="s">
        <v>146</v>
      </c>
      <c r="D633">
        <v>23</v>
      </c>
      <c r="E633" s="3">
        <v>350515.28147199977</v>
      </c>
    </row>
    <row r="634" spans="1:5" x14ac:dyDescent="0.2">
      <c r="A634">
        <v>2024</v>
      </c>
      <c r="B634" t="s">
        <v>143</v>
      </c>
      <c r="C634" t="s">
        <v>146</v>
      </c>
      <c r="D634">
        <v>24</v>
      </c>
      <c r="E634" s="3">
        <v>355154.74153900001</v>
      </c>
    </row>
    <row r="635" spans="1:5" x14ac:dyDescent="0.2">
      <c r="A635">
        <v>2024</v>
      </c>
      <c r="B635" t="s">
        <v>143</v>
      </c>
      <c r="C635" t="s">
        <v>146</v>
      </c>
      <c r="D635">
        <v>25</v>
      </c>
      <c r="E635" s="3">
        <v>341109.9107169999</v>
      </c>
    </row>
    <row r="636" spans="1:5" x14ac:dyDescent="0.2">
      <c r="A636">
        <v>2024</v>
      </c>
      <c r="B636" t="s">
        <v>143</v>
      </c>
      <c r="C636" t="s">
        <v>146</v>
      </c>
      <c r="D636">
        <v>26</v>
      </c>
      <c r="E636" s="3">
        <v>344866.87016599992</v>
      </c>
    </row>
    <row r="637" spans="1:5" x14ac:dyDescent="0.2">
      <c r="A637">
        <v>2024</v>
      </c>
      <c r="B637" t="s">
        <v>143</v>
      </c>
      <c r="C637" t="s">
        <v>146</v>
      </c>
      <c r="D637">
        <v>27</v>
      </c>
      <c r="E637" s="3">
        <v>350966.56367999996</v>
      </c>
    </row>
    <row r="638" spans="1:5" x14ac:dyDescent="0.2">
      <c r="A638">
        <v>2024</v>
      </c>
      <c r="B638" t="s">
        <v>143</v>
      </c>
      <c r="C638" t="s">
        <v>146</v>
      </c>
      <c r="D638">
        <v>28</v>
      </c>
      <c r="E638" s="3">
        <v>704684.19528800016</v>
      </c>
    </row>
    <row r="639" spans="1:5" x14ac:dyDescent="0.2">
      <c r="A639">
        <v>2024</v>
      </c>
      <c r="B639" t="s">
        <v>143</v>
      </c>
      <c r="C639" t="s">
        <v>146</v>
      </c>
      <c r="D639">
        <v>29</v>
      </c>
      <c r="E639" s="3">
        <v>716608.81262899993</v>
      </c>
    </row>
    <row r="640" spans="1:5" x14ac:dyDescent="0.2">
      <c r="A640">
        <v>2024</v>
      </c>
      <c r="B640" t="s">
        <v>143</v>
      </c>
      <c r="C640" t="s">
        <v>146</v>
      </c>
      <c r="D640">
        <v>30</v>
      </c>
      <c r="E640" s="3">
        <v>357545.28094599978</v>
      </c>
    </row>
    <row r="641" spans="1:5" x14ac:dyDescent="0.2">
      <c r="A641">
        <v>2024</v>
      </c>
      <c r="B641" t="s">
        <v>147</v>
      </c>
      <c r="C641" t="s">
        <v>148</v>
      </c>
      <c r="D641">
        <v>1</v>
      </c>
      <c r="E641" s="3">
        <v>618956.48098199919</v>
      </c>
    </row>
    <row r="642" spans="1:5" x14ac:dyDescent="0.2">
      <c r="A642">
        <v>2024</v>
      </c>
      <c r="B642" t="s">
        <v>147</v>
      </c>
      <c r="C642" t="s">
        <v>148</v>
      </c>
      <c r="D642">
        <v>2</v>
      </c>
      <c r="E642" s="3">
        <v>589938.95258599939</v>
      </c>
    </row>
    <row r="643" spans="1:5" x14ac:dyDescent="0.2">
      <c r="A643">
        <v>2024</v>
      </c>
      <c r="B643" t="s">
        <v>147</v>
      </c>
      <c r="C643" t="s">
        <v>148</v>
      </c>
      <c r="D643">
        <v>3</v>
      </c>
      <c r="E643" s="3">
        <v>704404.30102199863</v>
      </c>
    </row>
    <row r="644" spans="1:5" x14ac:dyDescent="0.2">
      <c r="A644">
        <v>2024</v>
      </c>
      <c r="B644" t="s">
        <v>147</v>
      </c>
      <c r="C644" t="s">
        <v>148</v>
      </c>
      <c r="D644">
        <v>4</v>
      </c>
      <c r="E644" s="3">
        <v>424221.02092400007</v>
      </c>
    </row>
    <row r="645" spans="1:5" x14ac:dyDescent="0.2">
      <c r="A645">
        <v>2024</v>
      </c>
      <c r="B645" t="s">
        <v>147</v>
      </c>
      <c r="C645" t="s">
        <v>148</v>
      </c>
      <c r="D645">
        <v>5</v>
      </c>
      <c r="E645" s="3">
        <v>1042354.2097410002</v>
      </c>
    </row>
    <row r="646" spans="1:5" x14ac:dyDescent="0.2">
      <c r="A646">
        <v>2024</v>
      </c>
      <c r="B646" t="s">
        <v>147</v>
      </c>
      <c r="C646" t="s">
        <v>148</v>
      </c>
      <c r="D646">
        <v>6</v>
      </c>
      <c r="E646" s="3">
        <v>912216.93709899776</v>
      </c>
    </row>
    <row r="647" spans="1:5" x14ac:dyDescent="0.2">
      <c r="A647">
        <v>2024</v>
      </c>
      <c r="B647" t="s">
        <v>147</v>
      </c>
      <c r="C647" t="s">
        <v>148</v>
      </c>
      <c r="D647">
        <v>7</v>
      </c>
      <c r="E647" s="3">
        <v>420901.4343329994</v>
      </c>
    </row>
    <row r="648" spans="1:5" x14ac:dyDescent="0.2">
      <c r="A648">
        <v>2024</v>
      </c>
      <c r="B648" t="s">
        <v>147</v>
      </c>
      <c r="C648" t="s">
        <v>148</v>
      </c>
      <c r="D648">
        <v>8</v>
      </c>
      <c r="E648" s="3">
        <v>432881.07122000016</v>
      </c>
    </row>
    <row r="649" spans="1:5" x14ac:dyDescent="0.2">
      <c r="A649">
        <v>2024</v>
      </c>
      <c r="B649" t="s">
        <v>147</v>
      </c>
      <c r="C649" t="s">
        <v>148</v>
      </c>
      <c r="D649">
        <v>9</v>
      </c>
      <c r="E649" s="3">
        <v>418793.32971299964</v>
      </c>
    </row>
    <row r="650" spans="1:5" x14ac:dyDescent="0.2">
      <c r="A650">
        <v>2024</v>
      </c>
      <c r="B650" t="s">
        <v>147</v>
      </c>
      <c r="C650" t="s">
        <v>148</v>
      </c>
      <c r="D650">
        <v>10</v>
      </c>
      <c r="E650" s="3">
        <v>448694.61801299965</v>
      </c>
    </row>
    <row r="651" spans="1:5" x14ac:dyDescent="0.2">
      <c r="A651">
        <v>2024</v>
      </c>
      <c r="B651" t="s">
        <v>147</v>
      </c>
      <c r="C651" t="s">
        <v>148</v>
      </c>
      <c r="D651">
        <v>11</v>
      </c>
      <c r="E651" s="3">
        <v>333141.10257999983</v>
      </c>
    </row>
    <row r="652" spans="1:5" x14ac:dyDescent="0.2">
      <c r="A652">
        <v>2024</v>
      </c>
      <c r="B652" t="s">
        <v>147</v>
      </c>
      <c r="C652" t="s">
        <v>148</v>
      </c>
      <c r="D652">
        <v>12</v>
      </c>
      <c r="E652" s="3">
        <v>669879.58618499909</v>
      </c>
    </row>
    <row r="653" spans="1:5" x14ac:dyDescent="0.2">
      <c r="A653">
        <v>2024</v>
      </c>
      <c r="B653" t="s">
        <v>147</v>
      </c>
      <c r="C653" t="s">
        <v>148</v>
      </c>
      <c r="D653">
        <v>13</v>
      </c>
      <c r="E653" s="3">
        <v>700678.58434799954</v>
      </c>
    </row>
    <row r="654" spans="1:5" x14ac:dyDescent="0.2">
      <c r="A654">
        <v>2024</v>
      </c>
      <c r="B654" t="s">
        <v>147</v>
      </c>
      <c r="C654" t="s">
        <v>148</v>
      </c>
      <c r="D654">
        <v>14</v>
      </c>
      <c r="E654" s="3">
        <v>486392.89335999964</v>
      </c>
    </row>
    <row r="655" spans="1:5" x14ac:dyDescent="0.2">
      <c r="A655">
        <v>2024</v>
      </c>
      <c r="B655" t="s">
        <v>147</v>
      </c>
      <c r="C655" t="s">
        <v>148</v>
      </c>
      <c r="D655">
        <v>15</v>
      </c>
      <c r="E655" s="3">
        <v>331905.82180999982</v>
      </c>
    </row>
    <row r="656" spans="1:5" x14ac:dyDescent="0.2">
      <c r="A656">
        <v>2024</v>
      </c>
      <c r="B656" t="s">
        <v>147</v>
      </c>
      <c r="C656" t="s">
        <v>148</v>
      </c>
      <c r="D656">
        <v>16</v>
      </c>
      <c r="E656" s="3">
        <v>341684.71012999985</v>
      </c>
    </row>
    <row r="657" spans="1:5" x14ac:dyDescent="0.2">
      <c r="A657">
        <v>2024</v>
      </c>
      <c r="B657" t="s">
        <v>147</v>
      </c>
      <c r="C657" t="s">
        <v>148</v>
      </c>
      <c r="D657">
        <v>17</v>
      </c>
      <c r="E657" s="3">
        <v>330530.99830999976</v>
      </c>
    </row>
    <row r="658" spans="1:5" x14ac:dyDescent="0.2">
      <c r="A658">
        <v>2024</v>
      </c>
      <c r="B658" t="s">
        <v>147</v>
      </c>
      <c r="C658" t="s">
        <v>148</v>
      </c>
      <c r="D658">
        <v>18</v>
      </c>
      <c r="E658" s="3">
        <v>339269.21595999983</v>
      </c>
    </row>
    <row r="659" spans="1:5" x14ac:dyDescent="0.2">
      <c r="A659">
        <v>2024</v>
      </c>
      <c r="B659" t="s">
        <v>147</v>
      </c>
      <c r="C659" t="s">
        <v>148</v>
      </c>
      <c r="D659">
        <v>19</v>
      </c>
      <c r="E659" s="3">
        <v>673275.8198399992</v>
      </c>
    </row>
    <row r="660" spans="1:5" x14ac:dyDescent="0.2">
      <c r="A660">
        <v>2024</v>
      </c>
      <c r="B660" t="s">
        <v>147</v>
      </c>
      <c r="C660" t="s">
        <v>148</v>
      </c>
      <c r="D660">
        <v>20</v>
      </c>
      <c r="E660" s="3">
        <v>687260.64102999936</v>
      </c>
    </row>
    <row r="661" spans="1:5" x14ac:dyDescent="0.2">
      <c r="A661">
        <v>2024</v>
      </c>
      <c r="B661" t="s">
        <v>147</v>
      </c>
      <c r="C661" t="s">
        <v>148</v>
      </c>
      <c r="D661">
        <v>21</v>
      </c>
      <c r="E661" s="3">
        <v>327623.10390999971</v>
      </c>
    </row>
    <row r="662" spans="1:5" x14ac:dyDescent="0.2">
      <c r="A662">
        <v>2024</v>
      </c>
      <c r="B662" t="s">
        <v>147</v>
      </c>
      <c r="C662" t="s">
        <v>148</v>
      </c>
      <c r="D662">
        <v>22</v>
      </c>
      <c r="E662" s="3">
        <v>347560.08712999983</v>
      </c>
    </row>
    <row r="663" spans="1:5" x14ac:dyDescent="0.2">
      <c r="A663">
        <v>2024</v>
      </c>
      <c r="B663" t="s">
        <v>147</v>
      </c>
      <c r="C663" t="s">
        <v>148</v>
      </c>
      <c r="D663">
        <v>23</v>
      </c>
      <c r="E663" s="3">
        <v>338703.93155999971</v>
      </c>
    </row>
    <row r="664" spans="1:5" x14ac:dyDescent="0.2">
      <c r="A664">
        <v>2024</v>
      </c>
      <c r="B664" t="s">
        <v>147</v>
      </c>
      <c r="C664" t="s">
        <v>148</v>
      </c>
      <c r="D664">
        <v>24</v>
      </c>
      <c r="E664" s="3">
        <v>324151.1750899998</v>
      </c>
    </row>
    <row r="665" spans="1:5" x14ac:dyDescent="0.2">
      <c r="A665">
        <v>2024</v>
      </c>
      <c r="B665" t="s">
        <v>147</v>
      </c>
      <c r="C665" t="s">
        <v>148</v>
      </c>
      <c r="D665">
        <v>25</v>
      </c>
      <c r="E665" s="3">
        <v>333703.21888</v>
      </c>
    </row>
    <row r="666" spans="1:5" x14ac:dyDescent="0.2">
      <c r="A666">
        <v>2024</v>
      </c>
      <c r="B666" t="s">
        <v>147</v>
      </c>
      <c r="C666" t="s">
        <v>148</v>
      </c>
      <c r="D666">
        <v>26</v>
      </c>
      <c r="E666" s="3">
        <v>655288.44184999948</v>
      </c>
    </row>
    <row r="667" spans="1:5" x14ac:dyDescent="0.2">
      <c r="A667">
        <v>2024</v>
      </c>
      <c r="B667" t="s">
        <v>147</v>
      </c>
      <c r="C667" t="s">
        <v>148</v>
      </c>
      <c r="D667">
        <v>27</v>
      </c>
      <c r="E667" s="3">
        <v>687873.83283999993</v>
      </c>
    </row>
    <row r="668" spans="1:5" x14ac:dyDescent="0.2">
      <c r="A668">
        <v>2024</v>
      </c>
      <c r="B668" t="s">
        <v>147</v>
      </c>
      <c r="C668" t="s">
        <v>148</v>
      </c>
      <c r="D668">
        <v>28</v>
      </c>
      <c r="E668" s="3">
        <v>328843.87436000007</v>
      </c>
    </row>
    <row r="669" spans="1:5" x14ac:dyDescent="0.2">
      <c r="A669">
        <v>2024</v>
      </c>
      <c r="B669" t="s">
        <v>147</v>
      </c>
      <c r="C669" t="s">
        <v>148</v>
      </c>
      <c r="D669">
        <v>29</v>
      </c>
      <c r="E669" s="3">
        <v>327590.45058999973</v>
      </c>
    </row>
    <row r="670" spans="1:5" x14ac:dyDescent="0.2">
      <c r="A670">
        <v>2024</v>
      </c>
      <c r="B670" t="s">
        <v>147</v>
      </c>
      <c r="C670" t="s">
        <v>148</v>
      </c>
      <c r="D670">
        <v>30</v>
      </c>
      <c r="E670" s="3">
        <v>330675.17422999983</v>
      </c>
    </row>
    <row r="671" spans="1:5" x14ac:dyDescent="0.2">
      <c r="A671">
        <v>2024</v>
      </c>
      <c r="B671" t="s">
        <v>147</v>
      </c>
      <c r="C671" t="s">
        <v>148</v>
      </c>
      <c r="D671">
        <v>31</v>
      </c>
      <c r="E671" s="3">
        <v>326281.87448999984</v>
      </c>
    </row>
    <row r="672" spans="1:5" x14ac:dyDescent="0.2">
      <c r="A672">
        <v>2024</v>
      </c>
      <c r="B672" t="s">
        <v>147</v>
      </c>
      <c r="C672" t="s">
        <v>149</v>
      </c>
      <c r="D672">
        <v>1</v>
      </c>
      <c r="E672" s="3">
        <v>383584.69207999995</v>
      </c>
    </row>
    <row r="673" spans="1:5" x14ac:dyDescent="0.2">
      <c r="A673">
        <v>2024</v>
      </c>
      <c r="B673" t="s">
        <v>147</v>
      </c>
      <c r="C673" t="s">
        <v>149</v>
      </c>
      <c r="D673">
        <v>2</v>
      </c>
      <c r="E673" s="3">
        <v>570033.04478999972</v>
      </c>
    </row>
    <row r="674" spans="1:5" x14ac:dyDescent="0.2">
      <c r="A674">
        <v>2024</v>
      </c>
      <c r="B674" t="s">
        <v>147</v>
      </c>
      <c r="C674" t="s">
        <v>149</v>
      </c>
      <c r="D674">
        <v>3</v>
      </c>
      <c r="E674" s="3">
        <v>558479.13056999946</v>
      </c>
    </row>
    <row r="675" spans="1:5" x14ac:dyDescent="0.2">
      <c r="A675">
        <v>2024</v>
      </c>
      <c r="B675" t="s">
        <v>147</v>
      </c>
      <c r="C675" t="s">
        <v>149</v>
      </c>
      <c r="D675">
        <v>4</v>
      </c>
      <c r="E675" s="3">
        <v>281349.98994999996</v>
      </c>
    </row>
    <row r="676" spans="1:5" x14ac:dyDescent="0.2">
      <c r="A676">
        <v>2024</v>
      </c>
      <c r="B676" t="s">
        <v>147</v>
      </c>
      <c r="C676" t="s">
        <v>149</v>
      </c>
      <c r="D676">
        <v>5</v>
      </c>
      <c r="E676" s="3">
        <v>271671.62543000007</v>
      </c>
    </row>
    <row r="677" spans="1:5" x14ac:dyDescent="0.2">
      <c r="A677">
        <v>2024</v>
      </c>
      <c r="B677" t="s">
        <v>147</v>
      </c>
      <c r="C677" t="s">
        <v>149</v>
      </c>
      <c r="D677">
        <v>6</v>
      </c>
      <c r="E677" s="3">
        <v>288397.74159999978</v>
      </c>
    </row>
    <row r="678" spans="1:5" x14ac:dyDescent="0.2">
      <c r="A678">
        <v>2024</v>
      </c>
      <c r="B678" t="s">
        <v>147</v>
      </c>
      <c r="C678" t="s">
        <v>149</v>
      </c>
      <c r="D678">
        <v>7</v>
      </c>
      <c r="E678" s="3">
        <v>267408.02342999994</v>
      </c>
    </row>
    <row r="679" spans="1:5" x14ac:dyDescent="0.2">
      <c r="A679">
        <v>2024</v>
      </c>
      <c r="B679" t="s">
        <v>147</v>
      </c>
      <c r="C679" t="s">
        <v>149</v>
      </c>
      <c r="D679">
        <v>8</v>
      </c>
      <c r="E679" s="3">
        <v>286396.73429999989</v>
      </c>
    </row>
    <row r="680" spans="1:5" x14ac:dyDescent="0.2">
      <c r="A680">
        <v>2024</v>
      </c>
      <c r="B680" t="s">
        <v>147</v>
      </c>
      <c r="C680" t="s">
        <v>149</v>
      </c>
      <c r="D680">
        <v>9</v>
      </c>
      <c r="E680" s="3">
        <v>564901.69644999946</v>
      </c>
    </row>
    <row r="681" spans="1:5" x14ac:dyDescent="0.2">
      <c r="A681">
        <v>2024</v>
      </c>
      <c r="B681" t="s">
        <v>147</v>
      </c>
      <c r="C681" t="s">
        <v>149</v>
      </c>
      <c r="D681">
        <v>10</v>
      </c>
      <c r="E681" s="3">
        <v>573402.13814999955</v>
      </c>
    </row>
    <row r="682" spans="1:5" x14ac:dyDescent="0.2">
      <c r="A682">
        <v>2024</v>
      </c>
      <c r="B682" t="s">
        <v>147</v>
      </c>
      <c r="C682" t="s">
        <v>149</v>
      </c>
      <c r="D682">
        <v>11</v>
      </c>
      <c r="E682" s="3">
        <v>428861.17554999969</v>
      </c>
    </row>
    <row r="683" spans="1:5" x14ac:dyDescent="0.2">
      <c r="A683">
        <v>2024</v>
      </c>
      <c r="B683" t="s">
        <v>147</v>
      </c>
      <c r="C683" t="s">
        <v>149</v>
      </c>
      <c r="D683">
        <v>12</v>
      </c>
      <c r="E683" s="3">
        <v>290423.37619999988</v>
      </c>
    </row>
    <row r="684" spans="1:5" x14ac:dyDescent="0.2">
      <c r="A684">
        <v>2024</v>
      </c>
      <c r="B684" t="s">
        <v>147</v>
      </c>
      <c r="C684" t="s">
        <v>149</v>
      </c>
      <c r="D684">
        <v>13</v>
      </c>
      <c r="E684" s="3">
        <v>283118.90699999989</v>
      </c>
    </row>
    <row r="685" spans="1:5" x14ac:dyDescent="0.2">
      <c r="A685">
        <v>2024</v>
      </c>
      <c r="B685" t="s">
        <v>147</v>
      </c>
      <c r="C685" t="s">
        <v>149</v>
      </c>
      <c r="D685">
        <v>14</v>
      </c>
      <c r="E685" s="3">
        <v>288232.72284999985</v>
      </c>
    </row>
    <row r="686" spans="1:5" x14ac:dyDescent="0.2">
      <c r="A686">
        <v>2024</v>
      </c>
      <c r="B686" t="s">
        <v>147</v>
      </c>
      <c r="C686" t="s">
        <v>149</v>
      </c>
      <c r="D686">
        <v>15</v>
      </c>
      <c r="E686" s="3">
        <v>276958.27209999989</v>
      </c>
    </row>
    <row r="687" spans="1:5" x14ac:dyDescent="0.2">
      <c r="A687">
        <v>2024</v>
      </c>
      <c r="B687" t="s">
        <v>147</v>
      </c>
      <c r="C687" t="s">
        <v>149</v>
      </c>
      <c r="D687">
        <v>16</v>
      </c>
      <c r="E687" s="3">
        <v>586414.8312999995</v>
      </c>
    </row>
    <row r="688" spans="1:5" x14ac:dyDescent="0.2">
      <c r="A688">
        <v>2024</v>
      </c>
      <c r="B688" t="s">
        <v>147</v>
      </c>
      <c r="C688" t="s">
        <v>149</v>
      </c>
      <c r="D688">
        <v>17</v>
      </c>
      <c r="E688" s="3">
        <v>550937.1698999994</v>
      </c>
    </row>
    <row r="689" spans="1:5" x14ac:dyDescent="0.2">
      <c r="A689">
        <v>2024</v>
      </c>
      <c r="B689" t="s">
        <v>147</v>
      </c>
      <c r="C689" t="s">
        <v>149</v>
      </c>
      <c r="D689">
        <v>18</v>
      </c>
      <c r="E689" s="3">
        <v>281742.52554999985</v>
      </c>
    </row>
    <row r="690" spans="1:5" x14ac:dyDescent="0.2">
      <c r="A690">
        <v>2024</v>
      </c>
      <c r="B690" t="s">
        <v>147</v>
      </c>
      <c r="C690" t="s">
        <v>149</v>
      </c>
      <c r="D690">
        <v>19</v>
      </c>
      <c r="E690" s="3">
        <v>271893.88269999984</v>
      </c>
    </row>
    <row r="691" spans="1:5" x14ac:dyDescent="0.2">
      <c r="A691">
        <v>2024</v>
      </c>
      <c r="B691" t="s">
        <v>147</v>
      </c>
      <c r="C691" t="s">
        <v>149</v>
      </c>
      <c r="D691">
        <v>20</v>
      </c>
      <c r="E691" s="3">
        <v>280336.83849999984</v>
      </c>
    </row>
    <row r="692" spans="1:5" x14ac:dyDescent="0.2">
      <c r="A692">
        <v>2024</v>
      </c>
      <c r="B692" t="s">
        <v>147</v>
      </c>
      <c r="C692" t="s">
        <v>149</v>
      </c>
      <c r="D692">
        <v>21</v>
      </c>
      <c r="E692" s="3">
        <v>280596.52084999997</v>
      </c>
    </row>
    <row r="693" spans="1:5" x14ac:dyDescent="0.2">
      <c r="A693">
        <v>2024</v>
      </c>
      <c r="B693" t="s">
        <v>147</v>
      </c>
      <c r="C693" t="s">
        <v>149</v>
      </c>
      <c r="D693">
        <v>22</v>
      </c>
      <c r="E693" s="3">
        <v>297017.52854999981</v>
      </c>
    </row>
    <row r="694" spans="1:5" x14ac:dyDescent="0.2">
      <c r="A694">
        <v>2024</v>
      </c>
      <c r="B694" t="s">
        <v>147</v>
      </c>
      <c r="C694" t="s">
        <v>149</v>
      </c>
      <c r="D694">
        <v>23</v>
      </c>
      <c r="E694" s="3">
        <v>535796.76469999913</v>
      </c>
    </row>
    <row r="695" spans="1:5" x14ac:dyDescent="0.2">
      <c r="A695">
        <v>2024</v>
      </c>
      <c r="B695" t="s">
        <v>147</v>
      </c>
      <c r="C695" t="s">
        <v>149</v>
      </c>
      <c r="D695">
        <v>24</v>
      </c>
      <c r="E695" s="3">
        <v>571823.97159999923</v>
      </c>
    </row>
    <row r="696" spans="1:5" x14ac:dyDescent="0.2">
      <c r="A696">
        <v>2024</v>
      </c>
      <c r="B696" t="s">
        <v>147</v>
      </c>
      <c r="C696" t="s">
        <v>149</v>
      </c>
      <c r="D696">
        <v>25</v>
      </c>
      <c r="E696" s="3">
        <v>275305.45124999993</v>
      </c>
    </row>
    <row r="697" spans="1:5" x14ac:dyDescent="0.2">
      <c r="A697">
        <v>2024</v>
      </c>
      <c r="B697" t="s">
        <v>147</v>
      </c>
      <c r="C697" t="s">
        <v>149</v>
      </c>
      <c r="D697">
        <v>26</v>
      </c>
      <c r="E697" s="3">
        <v>283598.15865000006</v>
      </c>
    </row>
    <row r="698" spans="1:5" x14ac:dyDescent="0.2">
      <c r="A698">
        <v>2024</v>
      </c>
      <c r="B698" t="s">
        <v>147</v>
      </c>
      <c r="C698" t="s">
        <v>149</v>
      </c>
      <c r="D698">
        <v>27</v>
      </c>
      <c r="E698" s="3">
        <v>405111.1899199991</v>
      </c>
    </row>
    <row r="699" spans="1:5" x14ac:dyDescent="0.2">
      <c r="A699">
        <v>2024</v>
      </c>
      <c r="B699" t="s">
        <v>147</v>
      </c>
      <c r="C699" t="s">
        <v>149</v>
      </c>
      <c r="D699">
        <v>28</v>
      </c>
      <c r="E699" s="3">
        <v>386574.64189999993</v>
      </c>
    </row>
    <row r="700" spans="1:5" x14ac:dyDescent="0.2">
      <c r="A700">
        <v>2024</v>
      </c>
      <c r="B700" t="s">
        <v>147</v>
      </c>
      <c r="C700" t="s">
        <v>149</v>
      </c>
      <c r="D700">
        <v>29</v>
      </c>
      <c r="E700" s="3">
        <v>295432.70905999996</v>
      </c>
    </row>
    <row r="701" spans="1:5" x14ac:dyDescent="0.2">
      <c r="A701">
        <v>2024</v>
      </c>
      <c r="B701" t="s">
        <v>147</v>
      </c>
      <c r="C701" t="s">
        <v>149</v>
      </c>
      <c r="D701">
        <v>30</v>
      </c>
      <c r="E701" s="3">
        <v>561266.53823999933</v>
      </c>
    </row>
    <row r="702" spans="1:5" x14ac:dyDescent="0.2">
      <c r="A702">
        <v>2024</v>
      </c>
      <c r="B702" t="s">
        <v>147</v>
      </c>
      <c r="C702" t="s">
        <v>150</v>
      </c>
      <c r="D702">
        <v>1</v>
      </c>
      <c r="E702" s="3">
        <v>1210521.4339099992</v>
      </c>
    </row>
    <row r="703" spans="1:5" x14ac:dyDescent="0.2">
      <c r="A703">
        <v>2024</v>
      </c>
      <c r="B703" t="s">
        <v>147</v>
      </c>
      <c r="C703" t="s">
        <v>150</v>
      </c>
      <c r="D703">
        <v>2</v>
      </c>
      <c r="E703" s="3">
        <v>497355.4720699999</v>
      </c>
    </row>
    <row r="704" spans="1:5" x14ac:dyDescent="0.2">
      <c r="A704">
        <v>2024</v>
      </c>
      <c r="B704" t="s">
        <v>147</v>
      </c>
      <c r="C704" t="s">
        <v>150</v>
      </c>
      <c r="D704">
        <v>3</v>
      </c>
      <c r="E704" s="3">
        <v>499110.31122000003</v>
      </c>
    </row>
    <row r="705" spans="1:5" x14ac:dyDescent="0.2">
      <c r="A705">
        <v>2024</v>
      </c>
      <c r="B705" t="s">
        <v>147</v>
      </c>
      <c r="C705" t="s">
        <v>150</v>
      </c>
      <c r="D705">
        <v>4</v>
      </c>
      <c r="E705" s="3">
        <v>516325.56221999967</v>
      </c>
    </row>
    <row r="706" spans="1:5" x14ac:dyDescent="0.2">
      <c r="A706">
        <v>2024</v>
      </c>
      <c r="B706" t="s">
        <v>147</v>
      </c>
      <c r="C706" t="s">
        <v>150</v>
      </c>
      <c r="D706">
        <v>5</v>
      </c>
      <c r="E706" s="3">
        <v>519659.46974999993</v>
      </c>
    </row>
    <row r="707" spans="1:5" x14ac:dyDescent="0.2">
      <c r="A707">
        <v>2024</v>
      </c>
      <c r="B707" t="s">
        <v>147</v>
      </c>
      <c r="C707" t="s">
        <v>150</v>
      </c>
      <c r="D707">
        <v>6</v>
      </c>
      <c r="E707" s="3">
        <v>526968.28333999997</v>
      </c>
    </row>
    <row r="708" spans="1:5" x14ac:dyDescent="0.2">
      <c r="A708">
        <v>2024</v>
      </c>
      <c r="B708" t="s">
        <v>147</v>
      </c>
      <c r="C708" t="s">
        <v>150</v>
      </c>
      <c r="D708">
        <v>7</v>
      </c>
      <c r="E708" s="3">
        <v>1049745.0717300011</v>
      </c>
    </row>
    <row r="709" spans="1:5" x14ac:dyDescent="0.2">
      <c r="A709">
        <v>2024</v>
      </c>
      <c r="B709" t="s">
        <v>147</v>
      </c>
      <c r="C709" t="s">
        <v>150</v>
      </c>
      <c r="D709">
        <v>8</v>
      </c>
      <c r="E709" s="3">
        <v>1284723.4628700025</v>
      </c>
    </row>
    <row r="710" spans="1:5" x14ac:dyDescent="0.2">
      <c r="A710">
        <v>2024</v>
      </c>
      <c r="B710" t="s">
        <v>147</v>
      </c>
      <c r="C710" t="s">
        <v>150</v>
      </c>
      <c r="D710">
        <v>9</v>
      </c>
      <c r="E710" s="3">
        <v>524928.40995999973</v>
      </c>
    </row>
    <row r="711" spans="1:5" x14ac:dyDescent="0.2">
      <c r="A711">
        <v>2024</v>
      </c>
      <c r="B711" t="s">
        <v>147</v>
      </c>
      <c r="C711" t="s">
        <v>150</v>
      </c>
      <c r="D711">
        <v>10</v>
      </c>
      <c r="E711" s="3">
        <v>536537.16624999978</v>
      </c>
    </row>
    <row r="712" spans="1:5" x14ac:dyDescent="0.2">
      <c r="A712">
        <v>2024</v>
      </c>
      <c r="B712" t="s">
        <v>147</v>
      </c>
      <c r="C712" t="s">
        <v>150</v>
      </c>
      <c r="D712">
        <v>11</v>
      </c>
      <c r="E712" s="3">
        <v>505157.23600999953</v>
      </c>
    </row>
    <row r="713" spans="1:5" x14ac:dyDescent="0.2">
      <c r="A713">
        <v>2024</v>
      </c>
      <c r="B713" t="s">
        <v>147</v>
      </c>
      <c r="C713" t="s">
        <v>150</v>
      </c>
      <c r="D713">
        <v>12</v>
      </c>
      <c r="E713" s="3">
        <v>516735.3674300001</v>
      </c>
    </row>
    <row r="714" spans="1:5" x14ac:dyDescent="0.2">
      <c r="A714">
        <v>2024</v>
      </c>
      <c r="B714" t="s">
        <v>147</v>
      </c>
      <c r="C714" t="s">
        <v>150</v>
      </c>
      <c r="D714">
        <v>13</v>
      </c>
      <c r="E714" s="3">
        <v>517705.0597300001</v>
      </c>
    </row>
    <row r="715" spans="1:5" x14ac:dyDescent="0.2">
      <c r="A715">
        <v>2024</v>
      </c>
      <c r="B715" t="s">
        <v>147</v>
      </c>
      <c r="C715" t="s">
        <v>150</v>
      </c>
      <c r="D715">
        <v>14</v>
      </c>
      <c r="E715" s="3">
        <v>953346.73708999925</v>
      </c>
    </row>
    <row r="716" spans="1:5" x14ac:dyDescent="0.2">
      <c r="A716">
        <v>2024</v>
      </c>
      <c r="B716" t="s">
        <v>147</v>
      </c>
      <c r="C716" t="s">
        <v>150</v>
      </c>
      <c r="D716">
        <v>15</v>
      </c>
      <c r="E716" s="3">
        <v>1025543.5698800016</v>
      </c>
    </row>
    <row r="717" spans="1:5" x14ac:dyDescent="0.2">
      <c r="A717">
        <v>2024</v>
      </c>
      <c r="B717" t="s">
        <v>147</v>
      </c>
      <c r="C717" t="s">
        <v>150</v>
      </c>
      <c r="D717">
        <v>16</v>
      </c>
      <c r="E717" s="3">
        <v>511296.2093499999</v>
      </c>
    </row>
    <row r="718" spans="1:5" x14ac:dyDescent="0.2">
      <c r="A718">
        <v>2024</v>
      </c>
      <c r="B718" t="s">
        <v>147</v>
      </c>
      <c r="C718" t="s">
        <v>150</v>
      </c>
      <c r="D718">
        <v>17</v>
      </c>
      <c r="E718" s="3">
        <v>494712.44316999987</v>
      </c>
    </row>
    <row r="719" spans="1:5" x14ac:dyDescent="0.2">
      <c r="A719">
        <v>2024</v>
      </c>
      <c r="B719" t="s">
        <v>147</v>
      </c>
      <c r="C719" t="s">
        <v>150</v>
      </c>
      <c r="D719">
        <v>18</v>
      </c>
      <c r="E719" s="3">
        <v>509168.58332000003</v>
      </c>
    </row>
    <row r="720" spans="1:5" x14ac:dyDescent="0.2">
      <c r="A720">
        <v>2024</v>
      </c>
      <c r="B720" t="s">
        <v>147</v>
      </c>
      <c r="C720" t="s">
        <v>150</v>
      </c>
      <c r="D720">
        <v>19</v>
      </c>
      <c r="E720" s="3">
        <v>517738.43238999939</v>
      </c>
    </row>
    <row r="721" spans="1:5" x14ac:dyDescent="0.2">
      <c r="A721">
        <v>2024</v>
      </c>
      <c r="B721" t="s">
        <v>147</v>
      </c>
      <c r="C721" t="s">
        <v>150</v>
      </c>
      <c r="D721">
        <v>20</v>
      </c>
      <c r="E721" s="3">
        <v>754053.94917500066</v>
      </c>
    </row>
    <row r="722" spans="1:5" x14ac:dyDescent="0.2">
      <c r="A722">
        <v>2024</v>
      </c>
      <c r="B722" t="s">
        <v>147</v>
      </c>
      <c r="C722" t="s">
        <v>150</v>
      </c>
      <c r="D722">
        <v>21</v>
      </c>
      <c r="E722" s="3">
        <v>1437657.4105550034</v>
      </c>
    </row>
    <row r="723" spans="1:5" x14ac:dyDescent="0.2">
      <c r="A723">
        <v>2024</v>
      </c>
      <c r="B723" t="s">
        <v>147</v>
      </c>
      <c r="C723" t="s">
        <v>150</v>
      </c>
      <c r="D723">
        <v>22</v>
      </c>
      <c r="E723" s="3">
        <v>1669952.0579999993</v>
      </c>
    </row>
    <row r="724" spans="1:5" x14ac:dyDescent="0.2">
      <c r="A724">
        <v>2024</v>
      </c>
      <c r="B724" t="s">
        <v>147</v>
      </c>
      <c r="C724" t="s">
        <v>150</v>
      </c>
      <c r="D724">
        <v>23</v>
      </c>
      <c r="E724" s="3">
        <v>818951.26475000067</v>
      </c>
    </row>
    <row r="725" spans="1:5" x14ac:dyDescent="0.2">
      <c r="A725">
        <v>2024</v>
      </c>
      <c r="B725" t="s">
        <v>147</v>
      </c>
      <c r="C725" t="s">
        <v>150</v>
      </c>
      <c r="D725">
        <v>24</v>
      </c>
      <c r="E725" s="3">
        <v>777030.03044999996</v>
      </c>
    </row>
    <row r="726" spans="1:5" x14ac:dyDescent="0.2">
      <c r="A726">
        <v>2024</v>
      </c>
      <c r="B726" t="s">
        <v>147</v>
      </c>
      <c r="C726" t="s">
        <v>150</v>
      </c>
      <c r="D726">
        <v>25</v>
      </c>
      <c r="E726" s="3">
        <v>1626835.3394250015</v>
      </c>
    </row>
    <row r="727" spans="1:5" x14ac:dyDescent="0.2">
      <c r="A727">
        <v>2024</v>
      </c>
      <c r="B727" t="s">
        <v>147</v>
      </c>
      <c r="C727" t="s">
        <v>150</v>
      </c>
      <c r="D727">
        <v>26</v>
      </c>
      <c r="E727" s="3">
        <v>972160.66134999925</v>
      </c>
    </row>
    <row r="728" spans="1:5" x14ac:dyDescent="0.2">
      <c r="A728">
        <v>2024</v>
      </c>
      <c r="B728" t="s">
        <v>147</v>
      </c>
      <c r="C728" t="s">
        <v>150</v>
      </c>
      <c r="D728">
        <v>27</v>
      </c>
      <c r="E728" s="3">
        <v>764563.61160000041</v>
      </c>
    </row>
    <row r="729" spans="1:5" x14ac:dyDescent="0.2">
      <c r="A729">
        <v>2024</v>
      </c>
      <c r="B729" t="s">
        <v>147</v>
      </c>
      <c r="C729" t="s">
        <v>150</v>
      </c>
      <c r="D729">
        <v>28</v>
      </c>
      <c r="E729" s="3">
        <v>1536923.7971750016</v>
      </c>
    </row>
    <row r="730" spans="1:5" x14ac:dyDescent="0.2">
      <c r="A730">
        <v>2024</v>
      </c>
      <c r="B730" t="s">
        <v>147</v>
      </c>
      <c r="C730" t="s">
        <v>150</v>
      </c>
      <c r="D730">
        <v>29</v>
      </c>
      <c r="E730" s="3">
        <v>1453799.5478500021</v>
      </c>
    </row>
    <row r="731" spans="1:5" x14ac:dyDescent="0.2">
      <c r="A731">
        <v>2024</v>
      </c>
      <c r="B731" t="s">
        <v>147</v>
      </c>
      <c r="C731" t="s">
        <v>150</v>
      </c>
      <c r="D731">
        <v>30</v>
      </c>
      <c r="E731" s="3">
        <v>840873.58712500136</v>
      </c>
    </row>
    <row r="732" spans="1:5" x14ac:dyDescent="0.2">
      <c r="A732">
        <v>2024</v>
      </c>
      <c r="B732" t="s">
        <v>147</v>
      </c>
      <c r="C732" t="s">
        <v>150</v>
      </c>
      <c r="D732">
        <v>31</v>
      </c>
      <c r="E732" s="3">
        <v>812162.7027500018</v>
      </c>
    </row>
    <row r="733" spans="1:5" x14ac:dyDescent="0.2">
      <c r="A733">
        <v>2025</v>
      </c>
      <c r="B733" t="s">
        <v>135</v>
      </c>
      <c r="C733" t="s">
        <v>136</v>
      </c>
      <c r="D733">
        <v>1</v>
      </c>
      <c r="E733" s="3">
        <v>439310.92124300002</v>
      </c>
    </row>
    <row r="734" spans="1:5" x14ac:dyDescent="0.2">
      <c r="A734">
        <v>2025</v>
      </c>
      <c r="B734" t="s">
        <v>135</v>
      </c>
      <c r="C734" t="s">
        <v>136</v>
      </c>
      <c r="D734">
        <v>2</v>
      </c>
      <c r="E734" s="3">
        <v>182527.25270300003</v>
      </c>
    </row>
    <row r="735" spans="1:5" x14ac:dyDescent="0.2">
      <c r="A735">
        <v>2025</v>
      </c>
      <c r="B735" t="s">
        <v>135</v>
      </c>
      <c r="C735" t="s">
        <v>136</v>
      </c>
      <c r="D735">
        <v>3</v>
      </c>
      <c r="E735" s="3">
        <v>170630.3835599999</v>
      </c>
    </row>
    <row r="736" spans="1:5" x14ac:dyDescent="0.2">
      <c r="A736">
        <v>2025</v>
      </c>
      <c r="B736" t="s">
        <v>135</v>
      </c>
      <c r="C736" t="s">
        <v>136</v>
      </c>
      <c r="D736">
        <v>4</v>
      </c>
      <c r="E736" s="3">
        <v>368465.57672500011</v>
      </c>
    </row>
    <row r="737" spans="1:5" x14ac:dyDescent="0.2">
      <c r="A737">
        <v>2025</v>
      </c>
      <c r="B737" t="s">
        <v>135</v>
      </c>
      <c r="C737" t="s">
        <v>136</v>
      </c>
      <c r="D737">
        <v>5</v>
      </c>
      <c r="E737" s="3">
        <v>363154.89568200009</v>
      </c>
    </row>
    <row r="738" spans="1:5" x14ac:dyDescent="0.2">
      <c r="A738">
        <v>2025</v>
      </c>
      <c r="B738" t="s">
        <v>135</v>
      </c>
      <c r="C738" t="s">
        <v>136</v>
      </c>
      <c r="D738">
        <v>6</v>
      </c>
      <c r="E738" s="3">
        <v>180530.77115199988</v>
      </c>
    </row>
    <row r="739" spans="1:5" x14ac:dyDescent="0.2">
      <c r="A739">
        <v>2025</v>
      </c>
      <c r="B739" t="s">
        <v>135</v>
      </c>
      <c r="C739" t="s">
        <v>136</v>
      </c>
      <c r="D739">
        <v>7</v>
      </c>
      <c r="E739" s="3">
        <v>169698.01265099991</v>
      </c>
    </row>
    <row r="740" spans="1:5" x14ac:dyDescent="0.2">
      <c r="A740">
        <v>2025</v>
      </c>
      <c r="B740" t="s">
        <v>135</v>
      </c>
      <c r="C740" t="s">
        <v>136</v>
      </c>
      <c r="D740">
        <v>8</v>
      </c>
      <c r="E740" s="3">
        <v>189606.28572899991</v>
      </c>
    </row>
    <row r="741" spans="1:5" x14ac:dyDescent="0.2">
      <c r="A741">
        <v>2025</v>
      </c>
      <c r="B741" t="s">
        <v>135</v>
      </c>
      <c r="C741" t="s">
        <v>136</v>
      </c>
      <c r="D741">
        <v>9</v>
      </c>
      <c r="E741" s="3">
        <v>180539.40784399988</v>
      </c>
    </row>
    <row r="742" spans="1:5" x14ac:dyDescent="0.2">
      <c r="A742">
        <v>2025</v>
      </c>
      <c r="B742" t="s">
        <v>135</v>
      </c>
      <c r="C742" t="s">
        <v>136</v>
      </c>
      <c r="D742">
        <v>10</v>
      </c>
      <c r="E742" s="3">
        <v>174913.61680099994</v>
      </c>
    </row>
    <row r="743" spans="1:5" x14ac:dyDescent="0.2">
      <c r="A743">
        <v>2025</v>
      </c>
      <c r="B743" t="s">
        <v>135</v>
      </c>
      <c r="C743" t="s">
        <v>136</v>
      </c>
      <c r="D743">
        <v>11</v>
      </c>
      <c r="E743" s="3">
        <v>272769.34758900013</v>
      </c>
    </row>
    <row r="744" spans="1:5" x14ac:dyDescent="0.2">
      <c r="A744">
        <v>2025</v>
      </c>
      <c r="B744" t="s">
        <v>135</v>
      </c>
      <c r="C744" t="s">
        <v>136</v>
      </c>
      <c r="D744">
        <v>12</v>
      </c>
      <c r="E744" s="3">
        <v>267554.06625200005</v>
      </c>
    </row>
    <row r="745" spans="1:5" x14ac:dyDescent="0.2">
      <c r="A745">
        <v>2025</v>
      </c>
      <c r="B745" t="s">
        <v>135</v>
      </c>
      <c r="C745" t="s">
        <v>136</v>
      </c>
      <c r="D745">
        <v>13</v>
      </c>
      <c r="E745" s="3">
        <v>133993.30912999995</v>
      </c>
    </row>
    <row r="746" spans="1:5" x14ac:dyDescent="0.2">
      <c r="A746">
        <v>2025</v>
      </c>
      <c r="B746" t="s">
        <v>135</v>
      </c>
      <c r="C746" t="s">
        <v>136</v>
      </c>
      <c r="D746">
        <v>14</v>
      </c>
      <c r="E746" s="3">
        <v>138401.56402099994</v>
      </c>
    </row>
    <row r="747" spans="1:5" x14ac:dyDescent="0.2">
      <c r="A747">
        <v>2025</v>
      </c>
      <c r="B747" t="s">
        <v>135</v>
      </c>
      <c r="C747" t="s">
        <v>136</v>
      </c>
      <c r="D747">
        <v>15</v>
      </c>
      <c r="E747" s="3">
        <v>133788.19940399998</v>
      </c>
    </row>
    <row r="748" spans="1:5" x14ac:dyDescent="0.2">
      <c r="A748">
        <v>2025</v>
      </c>
      <c r="B748" t="s">
        <v>135</v>
      </c>
      <c r="C748" t="s">
        <v>136</v>
      </c>
      <c r="D748">
        <v>16</v>
      </c>
      <c r="E748" s="3">
        <v>144941.424527</v>
      </c>
    </row>
    <row r="749" spans="1:5" x14ac:dyDescent="0.2">
      <c r="A749">
        <v>2025</v>
      </c>
      <c r="B749" t="s">
        <v>135</v>
      </c>
      <c r="C749" t="s">
        <v>136</v>
      </c>
      <c r="D749">
        <v>17</v>
      </c>
      <c r="E749" s="3">
        <v>137783.27577000001</v>
      </c>
    </row>
    <row r="750" spans="1:5" x14ac:dyDescent="0.2">
      <c r="A750">
        <v>2025</v>
      </c>
      <c r="B750" t="s">
        <v>135</v>
      </c>
      <c r="C750" t="s">
        <v>136</v>
      </c>
      <c r="D750">
        <v>18</v>
      </c>
      <c r="E750" s="3">
        <v>280646.98429500009</v>
      </c>
    </row>
    <row r="751" spans="1:5" x14ac:dyDescent="0.2">
      <c r="A751">
        <v>2025</v>
      </c>
      <c r="B751" t="s">
        <v>135</v>
      </c>
      <c r="C751" t="s">
        <v>136</v>
      </c>
      <c r="D751">
        <v>19</v>
      </c>
      <c r="E751" s="3">
        <v>269288.54604400008</v>
      </c>
    </row>
    <row r="752" spans="1:5" x14ac:dyDescent="0.2">
      <c r="A752">
        <v>2025</v>
      </c>
      <c r="B752" t="s">
        <v>135</v>
      </c>
      <c r="C752" t="s">
        <v>136</v>
      </c>
      <c r="D752">
        <v>20</v>
      </c>
      <c r="E752" s="3">
        <v>199154.46810899995</v>
      </c>
    </row>
    <row r="753" spans="1:5" x14ac:dyDescent="0.2">
      <c r="A753">
        <v>2025</v>
      </c>
      <c r="B753" t="s">
        <v>135</v>
      </c>
      <c r="C753" t="s">
        <v>136</v>
      </c>
      <c r="D753">
        <v>21</v>
      </c>
      <c r="E753" s="3">
        <v>130663.558857</v>
      </c>
    </row>
    <row r="754" spans="1:5" x14ac:dyDescent="0.2">
      <c r="A754">
        <v>2025</v>
      </c>
      <c r="B754" t="s">
        <v>135</v>
      </c>
      <c r="C754" t="s">
        <v>136</v>
      </c>
      <c r="D754">
        <v>22</v>
      </c>
      <c r="E754" s="3">
        <v>132600.29419500002</v>
      </c>
    </row>
    <row r="755" spans="1:5" x14ac:dyDescent="0.2">
      <c r="A755">
        <v>2025</v>
      </c>
      <c r="B755" t="s">
        <v>135</v>
      </c>
      <c r="C755" t="s">
        <v>136</v>
      </c>
      <c r="D755">
        <v>23</v>
      </c>
      <c r="E755" s="3">
        <v>134639.09831600002</v>
      </c>
    </row>
    <row r="756" spans="1:5" x14ac:dyDescent="0.2">
      <c r="A756">
        <v>2025</v>
      </c>
      <c r="B756" t="s">
        <v>135</v>
      </c>
      <c r="C756" t="s">
        <v>136</v>
      </c>
      <c r="D756">
        <v>24</v>
      </c>
      <c r="E756" s="3">
        <v>131786.22341100001</v>
      </c>
    </row>
    <row r="757" spans="1:5" x14ac:dyDescent="0.2">
      <c r="A757">
        <v>2025</v>
      </c>
      <c r="B757" t="s">
        <v>135</v>
      </c>
      <c r="C757" t="s">
        <v>136</v>
      </c>
      <c r="D757">
        <v>25</v>
      </c>
      <c r="E757" s="3">
        <v>272216.13044900005</v>
      </c>
    </row>
    <row r="758" spans="1:5" x14ac:dyDescent="0.2">
      <c r="A758">
        <v>2025</v>
      </c>
      <c r="B758" t="s">
        <v>135</v>
      </c>
      <c r="C758" t="s">
        <v>136</v>
      </c>
      <c r="D758">
        <v>26</v>
      </c>
      <c r="E758" s="3">
        <v>268517.71387599997</v>
      </c>
    </row>
    <row r="759" spans="1:5" x14ac:dyDescent="0.2">
      <c r="A759">
        <v>2025</v>
      </c>
      <c r="B759" t="s">
        <v>135</v>
      </c>
      <c r="C759" t="s">
        <v>136</v>
      </c>
      <c r="D759">
        <v>27</v>
      </c>
      <c r="E759" s="3">
        <v>134303.769956</v>
      </c>
    </row>
    <row r="760" spans="1:5" x14ac:dyDescent="0.2">
      <c r="A760">
        <v>2025</v>
      </c>
      <c r="B760" t="s">
        <v>135</v>
      </c>
      <c r="C760" t="s">
        <v>136</v>
      </c>
      <c r="D760">
        <v>28</v>
      </c>
      <c r="E760" s="3">
        <v>134908.77521999998</v>
      </c>
    </row>
    <row r="761" spans="1:5" x14ac:dyDescent="0.2">
      <c r="A761">
        <v>2025</v>
      </c>
      <c r="B761" t="s">
        <v>135</v>
      </c>
      <c r="C761" t="s">
        <v>136</v>
      </c>
      <c r="D761">
        <v>29</v>
      </c>
      <c r="E761" s="3">
        <v>175498.26184400002</v>
      </c>
    </row>
    <row r="762" spans="1:5" x14ac:dyDescent="0.2">
      <c r="A762">
        <v>2025</v>
      </c>
      <c r="B762" t="s">
        <v>135</v>
      </c>
      <c r="C762" t="s">
        <v>136</v>
      </c>
      <c r="D762">
        <v>30</v>
      </c>
      <c r="E762" s="3">
        <v>137088.80324299997</v>
      </c>
    </row>
    <row r="763" spans="1:5" x14ac:dyDescent="0.2">
      <c r="A763">
        <v>2025</v>
      </c>
      <c r="B763" t="s">
        <v>135</v>
      </c>
      <c r="C763" t="s">
        <v>136</v>
      </c>
      <c r="D763">
        <v>31</v>
      </c>
      <c r="E763" s="3">
        <v>146389.09629899997</v>
      </c>
    </row>
    <row r="764" spans="1:5" x14ac:dyDescent="0.2">
      <c r="A764">
        <v>2025</v>
      </c>
      <c r="B764" t="s">
        <v>135</v>
      </c>
      <c r="C764" t="s">
        <v>137</v>
      </c>
      <c r="D764">
        <v>1</v>
      </c>
      <c r="E764" s="3">
        <v>308257.88266000012</v>
      </c>
    </row>
    <row r="765" spans="1:5" x14ac:dyDescent="0.2">
      <c r="A765">
        <v>2025</v>
      </c>
      <c r="B765" t="s">
        <v>135</v>
      </c>
      <c r="C765" t="s">
        <v>137</v>
      </c>
      <c r="D765">
        <v>2</v>
      </c>
      <c r="E765" s="3">
        <v>291678.34212100005</v>
      </c>
    </row>
    <row r="766" spans="1:5" x14ac:dyDescent="0.2">
      <c r="A766">
        <v>2025</v>
      </c>
      <c r="B766" t="s">
        <v>135</v>
      </c>
      <c r="C766" t="s">
        <v>137</v>
      </c>
      <c r="D766">
        <v>3</v>
      </c>
      <c r="E766" s="3">
        <v>142008.79718299999</v>
      </c>
    </row>
    <row r="767" spans="1:5" x14ac:dyDescent="0.2">
      <c r="A767">
        <v>2025</v>
      </c>
      <c r="B767" t="s">
        <v>135</v>
      </c>
      <c r="C767" t="s">
        <v>137</v>
      </c>
      <c r="D767">
        <v>4</v>
      </c>
      <c r="E767" s="3">
        <v>142796.483611</v>
      </c>
    </row>
    <row r="768" spans="1:5" x14ac:dyDescent="0.2">
      <c r="A768">
        <v>2025</v>
      </c>
      <c r="B768" t="s">
        <v>135</v>
      </c>
      <c r="C768" t="s">
        <v>137</v>
      </c>
      <c r="D768">
        <v>5</v>
      </c>
      <c r="E768" s="3">
        <v>155030.83870300004</v>
      </c>
    </row>
    <row r="769" spans="1:5" x14ac:dyDescent="0.2">
      <c r="A769">
        <v>2025</v>
      </c>
      <c r="B769" t="s">
        <v>135</v>
      </c>
      <c r="C769" t="s">
        <v>137</v>
      </c>
      <c r="D769">
        <v>6</v>
      </c>
      <c r="E769" s="3">
        <v>149364.21895899996</v>
      </c>
    </row>
    <row r="770" spans="1:5" x14ac:dyDescent="0.2">
      <c r="A770">
        <v>2025</v>
      </c>
      <c r="B770" t="s">
        <v>135</v>
      </c>
      <c r="C770" t="s">
        <v>137</v>
      </c>
      <c r="D770">
        <v>7</v>
      </c>
      <c r="E770" s="3">
        <v>143398.69868999993</v>
      </c>
    </row>
    <row r="771" spans="1:5" x14ac:dyDescent="0.2">
      <c r="A771">
        <v>2025</v>
      </c>
      <c r="B771" t="s">
        <v>135</v>
      </c>
      <c r="C771" t="s">
        <v>137</v>
      </c>
      <c r="D771">
        <v>8</v>
      </c>
      <c r="E771" s="3">
        <v>297732.079623</v>
      </c>
    </row>
    <row r="772" spans="1:5" x14ac:dyDescent="0.2">
      <c r="A772">
        <v>2025</v>
      </c>
      <c r="B772" t="s">
        <v>135</v>
      </c>
      <c r="C772" t="s">
        <v>137</v>
      </c>
      <c r="D772">
        <v>9</v>
      </c>
      <c r="E772" s="3">
        <v>289442.37778500008</v>
      </c>
    </row>
    <row r="773" spans="1:5" x14ac:dyDescent="0.2">
      <c r="A773">
        <v>2025</v>
      </c>
      <c r="B773" t="s">
        <v>135</v>
      </c>
      <c r="C773" t="s">
        <v>137</v>
      </c>
      <c r="D773">
        <v>10</v>
      </c>
      <c r="E773" s="3">
        <v>146701.86806000001</v>
      </c>
    </row>
    <row r="774" spans="1:5" x14ac:dyDescent="0.2">
      <c r="A774">
        <v>2025</v>
      </c>
      <c r="B774" t="s">
        <v>135</v>
      </c>
      <c r="C774" t="s">
        <v>137</v>
      </c>
      <c r="D774">
        <v>11</v>
      </c>
      <c r="E774" s="3">
        <v>146335.81993000006</v>
      </c>
    </row>
    <row r="775" spans="1:5" x14ac:dyDescent="0.2">
      <c r="A775">
        <v>2025</v>
      </c>
      <c r="B775" t="s">
        <v>135</v>
      </c>
      <c r="C775" t="s">
        <v>137</v>
      </c>
      <c r="D775">
        <v>12</v>
      </c>
      <c r="E775" s="3">
        <v>150885.73556500001</v>
      </c>
    </row>
    <row r="776" spans="1:5" x14ac:dyDescent="0.2">
      <c r="A776">
        <v>2025</v>
      </c>
      <c r="B776" t="s">
        <v>135</v>
      </c>
      <c r="C776" t="s">
        <v>137</v>
      </c>
      <c r="D776">
        <v>13</v>
      </c>
      <c r="E776" s="3">
        <v>137967.55220999997</v>
      </c>
    </row>
    <row r="777" spans="1:5" x14ac:dyDescent="0.2">
      <c r="A777">
        <v>2025</v>
      </c>
      <c r="B777" t="s">
        <v>135</v>
      </c>
      <c r="C777" t="s">
        <v>137</v>
      </c>
      <c r="D777">
        <v>14</v>
      </c>
      <c r="E777" s="3">
        <v>138191.07456000001</v>
      </c>
    </row>
    <row r="778" spans="1:5" x14ac:dyDescent="0.2">
      <c r="A778">
        <v>2025</v>
      </c>
      <c r="B778" t="s">
        <v>135</v>
      </c>
      <c r="C778" t="s">
        <v>137</v>
      </c>
      <c r="D778">
        <v>15</v>
      </c>
      <c r="E778" s="3">
        <v>283368.29148000007</v>
      </c>
    </row>
    <row r="779" spans="1:5" x14ac:dyDescent="0.2">
      <c r="A779">
        <v>2025</v>
      </c>
      <c r="B779" t="s">
        <v>135</v>
      </c>
      <c r="C779" t="s">
        <v>137</v>
      </c>
      <c r="D779">
        <v>16</v>
      </c>
      <c r="E779" s="3">
        <v>282014.94547000004</v>
      </c>
    </row>
    <row r="780" spans="1:5" x14ac:dyDescent="0.2">
      <c r="A780">
        <v>2025</v>
      </c>
      <c r="B780" t="s">
        <v>135</v>
      </c>
      <c r="C780" t="s">
        <v>137</v>
      </c>
      <c r="D780">
        <v>17</v>
      </c>
      <c r="E780" s="3">
        <v>224680.73296500003</v>
      </c>
    </row>
    <row r="781" spans="1:5" x14ac:dyDescent="0.2">
      <c r="A781">
        <v>2025</v>
      </c>
      <c r="B781" t="s">
        <v>135</v>
      </c>
      <c r="C781" t="s">
        <v>137</v>
      </c>
      <c r="D781">
        <v>18</v>
      </c>
      <c r="E781" s="3">
        <v>145516.48525</v>
      </c>
    </row>
    <row r="782" spans="1:5" x14ac:dyDescent="0.2">
      <c r="A782">
        <v>2025</v>
      </c>
      <c r="B782" t="s">
        <v>135</v>
      </c>
      <c r="C782" t="s">
        <v>137</v>
      </c>
      <c r="D782">
        <v>19</v>
      </c>
      <c r="E782" s="3">
        <v>138267.34641499986</v>
      </c>
    </row>
    <row r="783" spans="1:5" x14ac:dyDescent="0.2">
      <c r="A783">
        <v>2025</v>
      </c>
      <c r="B783" t="s">
        <v>135</v>
      </c>
      <c r="C783" t="s">
        <v>137</v>
      </c>
      <c r="D783">
        <v>20</v>
      </c>
      <c r="E783" s="3">
        <v>136327.86430999995</v>
      </c>
    </row>
    <row r="784" spans="1:5" x14ac:dyDescent="0.2">
      <c r="A784">
        <v>2025</v>
      </c>
      <c r="B784" t="s">
        <v>135</v>
      </c>
      <c r="C784" t="s">
        <v>137</v>
      </c>
      <c r="D784">
        <v>21</v>
      </c>
      <c r="E784" s="3">
        <v>150943.34061499996</v>
      </c>
    </row>
    <row r="785" spans="1:5" x14ac:dyDescent="0.2">
      <c r="A785">
        <v>2025</v>
      </c>
      <c r="B785" t="s">
        <v>135</v>
      </c>
      <c r="C785" t="s">
        <v>137</v>
      </c>
      <c r="D785">
        <v>22</v>
      </c>
      <c r="E785" s="3">
        <v>283437.29136999993</v>
      </c>
    </row>
    <row r="786" spans="1:5" x14ac:dyDescent="0.2">
      <c r="A786">
        <v>2025</v>
      </c>
      <c r="B786" t="s">
        <v>135</v>
      </c>
      <c r="C786" t="s">
        <v>137</v>
      </c>
      <c r="D786">
        <v>23</v>
      </c>
      <c r="E786" s="3">
        <v>293284.4338750001</v>
      </c>
    </row>
    <row r="787" spans="1:5" x14ac:dyDescent="0.2">
      <c r="A787">
        <v>2025</v>
      </c>
      <c r="B787" t="s">
        <v>135</v>
      </c>
      <c r="C787" t="s">
        <v>137</v>
      </c>
      <c r="D787">
        <v>24</v>
      </c>
      <c r="E787" s="3">
        <v>149465.98858000003</v>
      </c>
    </row>
    <row r="788" spans="1:5" x14ac:dyDescent="0.2">
      <c r="A788">
        <v>2025</v>
      </c>
      <c r="B788" t="s">
        <v>135</v>
      </c>
      <c r="C788" t="s">
        <v>137</v>
      </c>
      <c r="D788">
        <v>25</v>
      </c>
      <c r="E788" s="3">
        <v>145499.69991</v>
      </c>
    </row>
    <row r="789" spans="1:5" x14ac:dyDescent="0.2">
      <c r="A789">
        <v>2025</v>
      </c>
      <c r="B789" t="s">
        <v>135</v>
      </c>
      <c r="C789" t="s">
        <v>137</v>
      </c>
      <c r="D789">
        <v>26</v>
      </c>
      <c r="E789" s="3">
        <v>144271.84915499997</v>
      </c>
    </row>
    <row r="790" spans="1:5" x14ac:dyDescent="0.2">
      <c r="A790">
        <v>2025</v>
      </c>
      <c r="B790" t="s">
        <v>135</v>
      </c>
      <c r="C790" t="s">
        <v>137</v>
      </c>
      <c r="D790">
        <v>27</v>
      </c>
      <c r="E790" s="3">
        <v>147374.40855999998</v>
      </c>
    </row>
    <row r="791" spans="1:5" x14ac:dyDescent="0.2">
      <c r="A791">
        <v>2025</v>
      </c>
      <c r="B791" t="s">
        <v>135</v>
      </c>
      <c r="C791" t="s">
        <v>137</v>
      </c>
      <c r="D791">
        <v>28</v>
      </c>
      <c r="E791" s="3">
        <v>141733.22176499997</v>
      </c>
    </row>
    <row r="792" spans="1:5" x14ac:dyDescent="0.2">
      <c r="A792">
        <v>2025</v>
      </c>
      <c r="B792" t="s">
        <v>135</v>
      </c>
      <c r="C792" t="s">
        <v>138</v>
      </c>
      <c r="D792">
        <v>1</v>
      </c>
      <c r="E792" s="3">
        <v>569204.77244499966</v>
      </c>
    </row>
    <row r="793" spans="1:5" x14ac:dyDescent="0.2">
      <c r="A793">
        <v>2025</v>
      </c>
      <c r="B793" t="s">
        <v>135</v>
      </c>
      <c r="C793" t="s">
        <v>138</v>
      </c>
      <c r="D793">
        <v>2</v>
      </c>
      <c r="E793" s="3">
        <v>570206.28109499998</v>
      </c>
    </row>
    <row r="794" spans="1:5" x14ac:dyDescent="0.2">
      <c r="A794">
        <v>2025</v>
      </c>
      <c r="B794" t="s">
        <v>135</v>
      </c>
      <c r="C794" t="s">
        <v>138</v>
      </c>
      <c r="D794">
        <v>3</v>
      </c>
      <c r="E794" s="3">
        <v>293330.25910999987</v>
      </c>
    </row>
    <row r="795" spans="1:5" x14ac:dyDescent="0.2">
      <c r="A795">
        <v>2025</v>
      </c>
      <c r="B795" t="s">
        <v>135</v>
      </c>
      <c r="C795" t="s">
        <v>138</v>
      </c>
      <c r="D795">
        <v>4</v>
      </c>
      <c r="E795" s="3">
        <v>285818.20677999995</v>
      </c>
    </row>
    <row r="796" spans="1:5" x14ac:dyDescent="0.2">
      <c r="A796">
        <v>2025</v>
      </c>
      <c r="B796" t="s">
        <v>135</v>
      </c>
      <c r="C796" t="s">
        <v>138</v>
      </c>
      <c r="D796">
        <v>5</v>
      </c>
      <c r="E796" s="3">
        <v>287759.27788999985</v>
      </c>
    </row>
    <row r="797" spans="1:5" x14ac:dyDescent="0.2">
      <c r="A797">
        <v>2025</v>
      </c>
      <c r="B797" t="s">
        <v>135</v>
      </c>
      <c r="C797" t="s">
        <v>138</v>
      </c>
      <c r="D797">
        <v>6</v>
      </c>
      <c r="E797" s="3">
        <v>290344.99801999971</v>
      </c>
    </row>
    <row r="798" spans="1:5" x14ac:dyDescent="0.2">
      <c r="A798">
        <v>2025</v>
      </c>
      <c r="B798" t="s">
        <v>135</v>
      </c>
      <c r="C798" t="s">
        <v>138</v>
      </c>
      <c r="D798">
        <v>7</v>
      </c>
      <c r="E798" s="3">
        <v>290851.45121499995</v>
      </c>
    </row>
    <row r="799" spans="1:5" x14ac:dyDescent="0.2">
      <c r="A799">
        <v>2025</v>
      </c>
      <c r="B799" t="s">
        <v>135</v>
      </c>
      <c r="C799" t="s">
        <v>138</v>
      </c>
      <c r="D799">
        <v>8</v>
      </c>
      <c r="E799" s="3">
        <v>570645.58664499992</v>
      </c>
    </row>
    <row r="800" spans="1:5" x14ac:dyDescent="0.2">
      <c r="A800">
        <v>2025</v>
      </c>
      <c r="B800" t="s">
        <v>135</v>
      </c>
      <c r="C800" t="s">
        <v>138</v>
      </c>
      <c r="D800">
        <v>9</v>
      </c>
      <c r="E800" s="3">
        <v>574913.22853999957</v>
      </c>
    </row>
    <row r="801" spans="1:5" x14ac:dyDescent="0.2">
      <c r="A801">
        <v>2025</v>
      </c>
      <c r="B801" t="s">
        <v>135</v>
      </c>
      <c r="C801" t="s">
        <v>138</v>
      </c>
      <c r="D801">
        <v>10</v>
      </c>
      <c r="E801" s="3">
        <v>283041.76946499984</v>
      </c>
    </row>
    <row r="802" spans="1:5" x14ac:dyDescent="0.2">
      <c r="A802">
        <v>2025</v>
      </c>
      <c r="B802" t="s">
        <v>135</v>
      </c>
      <c r="C802" t="s">
        <v>138</v>
      </c>
      <c r="D802">
        <v>11</v>
      </c>
      <c r="E802" s="3">
        <v>285396.1824799999</v>
      </c>
    </row>
    <row r="803" spans="1:5" x14ac:dyDescent="0.2">
      <c r="A803">
        <v>2025</v>
      </c>
      <c r="B803" t="s">
        <v>135</v>
      </c>
      <c r="C803" t="s">
        <v>138</v>
      </c>
      <c r="D803">
        <v>12</v>
      </c>
      <c r="E803" s="3">
        <v>298777.08357999998</v>
      </c>
    </row>
    <row r="804" spans="1:5" x14ac:dyDescent="0.2">
      <c r="A804">
        <v>2025</v>
      </c>
      <c r="B804" t="s">
        <v>135</v>
      </c>
      <c r="C804" t="s">
        <v>138</v>
      </c>
      <c r="D804">
        <v>13</v>
      </c>
      <c r="E804" s="3">
        <v>284073.23027499998</v>
      </c>
    </row>
    <row r="805" spans="1:5" x14ac:dyDescent="0.2">
      <c r="A805">
        <v>2025</v>
      </c>
      <c r="B805" t="s">
        <v>135</v>
      </c>
      <c r="C805" t="s">
        <v>138</v>
      </c>
      <c r="D805">
        <v>14</v>
      </c>
      <c r="E805" s="3">
        <v>303688.02512499993</v>
      </c>
    </row>
    <row r="806" spans="1:5" x14ac:dyDescent="0.2">
      <c r="A806">
        <v>2025</v>
      </c>
      <c r="B806" t="s">
        <v>135</v>
      </c>
      <c r="C806" t="s">
        <v>138</v>
      </c>
      <c r="D806">
        <v>15</v>
      </c>
      <c r="E806" s="3">
        <v>726645.09762800019</v>
      </c>
    </row>
    <row r="807" spans="1:5" x14ac:dyDescent="0.2">
      <c r="A807">
        <v>2025</v>
      </c>
      <c r="B807" t="s">
        <v>135</v>
      </c>
      <c r="C807" t="s">
        <v>138</v>
      </c>
      <c r="D807">
        <v>16</v>
      </c>
      <c r="E807" s="3">
        <v>750038.08454499976</v>
      </c>
    </row>
    <row r="808" spans="1:5" x14ac:dyDescent="0.2">
      <c r="A808">
        <v>2025</v>
      </c>
      <c r="B808" t="s">
        <v>135</v>
      </c>
      <c r="C808" t="s">
        <v>138</v>
      </c>
      <c r="D808">
        <v>17</v>
      </c>
      <c r="E808" s="3">
        <v>360630.76082100009</v>
      </c>
    </row>
    <row r="809" spans="1:5" x14ac:dyDescent="0.2">
      <c r="A809">
        <v>2025</v>
      </c>
      <c r="B809" t="s">
        <v>135</v>
      </c>
      <c r="C809" t="s">
        <v>138</v>
      </c>
      <c r="D809">
        <v>18</v>
      </c>
      <c r="E809" s="3">
        <v>351583.99702800007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A3217-4112-4DA0-B360-7869817EC771}">
  <dimension ref="A1:E27"/>
  <sheetViews>
    <sheetView tabSelected="1" workbookViewId="0">
      <selection activeCell="B29" sqref="B29"/>
    </sheetView>
  </sheetViews>
  <sheetFormatPr defaultRowHeight="14.25" x14ac:dyDescent="0.2"/>
  <cols>
    <col min="1" max="1" width="22.75" style="9" bestFit="1" customWidth="1"/>
    <col min="2" max="2" width="18.875" style="9" bestFit="1" customWidth="1"/>
    <col min="3" max="3" width="15.5" style="9" bestFit="1" customWidth="1"/>
    <col min="4" max="4" width="22.25" style="9" bestFit="1" customWidth="1"/>
    <col min="5" max="5" width="17.625" style="9" bestFit="1" customWidth="1"/>
  </cols>
  <sheetData>
    <row r="1" spans="1:5" x14ac:dyDescent="0.2">
      <c r="A1" s="46" t="s">
        <v>163</v>
      </c>
      <c r="B1" s="47"/>
      <c r="C1" s="47"/>
      <c r="D1" s="47"/>
      <c r="E1" s="47"/>
    </row>
    <row r="2" spans="1:5" x14ac:dyDescent="0.2">
      <c r="A2" s="47"/>
      <c r="B2" s="47"/>
      <c r="C2" s="47"/>
      <c r="D2" s="47"/>
      <c r="E2" s="47"/>
    </row>
    <row r="3" spans="1:5" x14ac:dyDescent="0.2">
      <c r="A3" s="10" t="s">
        <v>2</v>
      </c>
      <c r="B3" s="10" t="s">
        <v>5</v>
      </c>
      <c r="C3" s="9" t="s">
        <v>164</v>
      </c>
      <c r="D3" s="9" t="s">
        <v>165</v>
      </c>
      <c r="E3" s="9" t="s">
        <v>166</v>
      </c>
    </row>
    <row r="4" spans="1:5" x14ac:dyDescent="0.2">
      <c r="A4" s="9" t="s">
        <v>25</v>
      </c>
      <c r="B4" s="9" t="s">
        <v>13</v>
      </c>
      <c r="C4" s="11">
        <v>1425932</v>
      </c>
      <c r="D4" s="12">
        <v>62422057.258397482</v>
      </c>
      <c r="E4" s="12">
        <v>37776164.95839785</v>
      </c>
    </row>
    <row r="5" spans="1:5" x14ac:dyDescent="0.2">
      <c r="B5" s="9" t="s">
        <v>19</v>
      </c>
      <c r="C5" s="11">
        <v>177905</v>
      </c>
      <c r="D5" s="12">
        <v>7750145.36829904</v>
      </c>
      <c r="E5" s="12">
        <v>4640255.5682989992</v>
      </c>
    </row>
    <row r="6" spans="1:5" x14ac:dyDescent="0.2">
      <c r="B6" s="9" t="s">
        <v>14</v>
      </c>
      <c r="C6" s="11">
        <v>105330</v>
      </c>
      <c r="D6" s="12">
        <v>4307776.5348060038</v>
      </c>
      <c r="E6" s="12">
        <v>2446943.244805974</v>
      </c>
    </row>
    <row r="7" spans="1:5" x14ac:dyDescent="0.2">
      <c r="A7" s="9" t="s">
        <v>156</v>
      </c>
      <c r="C7" s="11">
        <v>1709167</v>
      </c>
      <c r="D7" s="12">
        <v>74479979.161502525</v>
      </c>
      <c r="E7" s="12">
        <v>44863363.771502823</v>
      </c>
    </row>
    <row r="8" spans="1:5" x14ac:dyDescent="0.2">
      <c r="A8" s="9" t="s">
        <v>58</v>
      </c>
      <c r="B8" s="9" t="s">
        <v>19</v>
      </c>
      <c r="C8" s="11">
        <v>110972</v>
      </c>
      <c r="D8" s="12">
        <v>4395941.6065109596</v>
      </c>
      <c r="E8" s="12">
        <v>2462242.76651099</v>
      </c>
    </row>
    <row r="9" spans="1:5" x14ac:dyDescent="0.2">
      <c r="B9" s="9" t="s">
        <v>14</v>
      </c>
      <c r="C9" s="11">
        <v>602616</v>
      </c>
      <c r="D9" s="12">
        <v>23868996.713535972</v>
      </c>
      <c r="E9" s="12">
        <v>13471240.463535933</v>
      </c>
    </row>
    <row r="10" spans="1:5" x14ac:dyDescent="0.2">
      <c r="A10" s="9" t="s">
        <v>157</v>
      </c>
      <c r="C10" s="11">
        <v>713588</v>
      </c>
      <c r="D10" s="12">
        <v>28264938.320046932</v>
      </c>
      <c r="E10" s="12">
        <v>15933483.230046922</v>
      </c>
    </row>
    <row r="11" spans="1:5" x14ac:dyDescent="0.2">
      <c r="A11" s="9" t="s">
        <v>36</v>
      </c>
      <c r="B11" s="9" t="s">
        <v>13</v>
      </c>
      <c r="C11" s="11">
        <v>172547</v>
      </c>
      <c r="D11" s="12">
        <v>6843908.4050739696</v>
      </c>
      <c r="E11" s="12">
        <v>3893137.4850740102</v>
      </c>
    </row>
    <row r="12" spans="1:5" x14ac:dyDescent="0.2">
      <c r="B12" s="9" t="s">
        <v>19</v>
      </c>
      <c r="C12" s="11">
        <v>212102</v>
      </c>
      <c r="D12" s="12">
        <v>8419819.6879140195</v>
      </c>
      <c r="E12" s="12">
        <v>4739680.2279140092</v>
      </c>
    </row>
    <row r="13" spans="1:5" x14ac:dyDescent="0.2">
      <c r="B13" s="9" t="s">
        <v>14</v>
      </c>
      <c r="C13" s="11">
        <v>440677</v>
      </c>
      <c r="D13" s="12">
        <v>17381169.068511013</v>
      </c>
      <c r="E13" s="12">
        <v>9697440.9385109358</v>
      </c>
    </row>
    <row r="14" spans="1:5" x14ac:dyDescent="0.2">
      <c r="A14" s="9" t="s">
        <v>158</v>
      </c>
      <c r="C14" s="11">
        <v>825326</v>
      </c>
      <c r="D14" s="12">
        <v>32644897.161499001</v>
      </c>
      <c r="E14" s="12">
        <v>18330258.651498955</v>
      </c>
    </row>
    <row r="15" spans="1:5" x14ac:dyDescent="0.2">
      <c r="A15" s="9" t="s">
        <v>80</v>
      </c>
      <c r="B15" s="9" t="s">
        <v>19</v>
      </c>
      <c r="C15" s="11">
        <v>121981</v>
      </c>
      <c r="D15" s="12">
        <v>4882003.5135389902</v>
      </c>
      <c r="E15" s="12">
        <v>2755085.28353904</v>
      </c>
    </row>
    <row r="16" spans="1:5" x14ac:dyDescent="0.2">
      <c r="B16" s="9" t="s">
        <v>14</v>
      </c>
      <c r="C16" s="11">
        <v>515234</v>
      </c>
      <c r="D16" s="12">
        <v>20521675.720006928</v>
      </c>
      <c r="E16" s="12">
        <v>11613944.870006993</v>
      </c>
    </row>
    <row r="17" spans="1:5" x14ac:dyDescent="0.2">
      <c r="A17" s="9" t="s">
        <v>159</v>
      </c>
      <c r="C17" s="11">
        <v>637215</v>
      </c>
      <c r="D17" s="12">
        <v>25403679.233545918</v>
      </c>
      <c r="E17" s="12">
        <v>14369030.153546033</v>
      </c>
    </row>
    <row r="18" spans="1:5" x14ac:dyDescent="0.2">
      <c r="A18" s="9" t="s">
        <v>69</v>
      </c>
      <c r="B18" s="9" t="s">
        <v>19</v>
      </c>
      <c r="C18" s="11">
        <v>208912</v>
      </c>
      <c r="D18" s="12">
        <v>8400625.2871499397</v>
      </c>
      <c r="E18" s="12">
        <v>4789229.3571500294</v>
      </c>
    </row>
    <row r="19" spans="1:5" x14ac:dyDescent="0.2">
      <c r="B19" s="9" t="s">
        <v>14</v>
      </c>
      <c r="C19" s="11">
        <v>419858</v>
      </c>
      <c r="D19" s="12">
        <v>16626012.880935002</v>
      </c>
      <c r="E19" s="12">
        <v>9385261.3909349591</v>
      </c>
    </row>
    <row r="20" spans="1:5" x14ac:dyDescent="0.2">
      <c r="A20" s="9" t="s">
        <v>160</v>
      </c>
      <c r="C20" s="11">
        <v>628770</v>
      </c>
      <c r="D20" s="12">
        <v>25026638.168084942</v>
      </c>
      <c r="E20" s="12">
        <v>14174490.748084988</v>
      </c>
    </row>
    <row r="21" spans="1:5" x14ac:dyDescent="0.2">
      <c r="A21" s="9" t="s">
        <v>47</v>
      </c>
      <c r="B21" s="9" t="s">
        <v>14</v>
      </c>
      <c r="C21" s="11">
        <v>689458</v>
      </c>
      <c r="D21" s="12">
        <v>22619160.78500003</v>
      </c>
      <c r="E21" s="12">
        <v>10678124.994999994</v>
      </c>
    </row>
    <row r="22" spans="1:5" x14ac:dyDescent="0.2">
      <c r="A22" s="9" t="s">
        <v>161</v>
      </c>
      <c r="C22" s="11">
        <v>689458</v>
      </c>
      <c r="D22" s="12">
        <v>22619160.78500003</v>
      </c>
      <c r="E22" s="12">
        <v>10678124.994999994</v>
      </c>
    </row>
    <row r="23" spans="1:5" x14ac:dyDescent="0.2">
      <c r="A23" s="9" t="s">
        <v>11</v>
      </c>
      <c r="B23" s="9" t="s">
        <v>13</v>
      </c>
      <c r="C23" s="11">
        <v>1383489</v>
      </c>
      <c r="D23" s="12">
        <v>56277215.220001012</v>
      </c>
      <c r="E23" s="12">
        <v>32277096.51000046</v>
      </c>
    </row>
    <row r="24" spans="1:5" x14ac:dyDescent="0.2">
      <c r="B24" s="9" t="s">
        <v>19</v>
      </c>
      <c r="C24" s="11">
        <v>305656</v>
      </c>
      <c r="D24" s="12">
        <v>12267031.55999993</v>
      </c>
      <c r="E24" s="12">
        <v>6951778.819999991</v>
      </c>
    </row>
    <row r="25" spans="1:5" x14ac:dyDescent="0.2">
      <c r="B25" s="9" t="s">
        <v>14</v>
      </c>
      <c r="C25" s="11">
        <v>167402</v>
      </c>
      <c r="D25" s="12">
        <v>6479264.919999999</v>
      </c>
      <c r="E25" s="12">
        <v>3512356.0800000262</v>
      </c>
    </row>
    <row r="26" spans="1:5" x14ac:dyDescent="0.2">
      <c r="A26" s="9" t="s">
        <v>162</v>
      </c>
      <c r="C26" s="11">
        <v>1856547</v>
      </c>
      <c r="D26" s="12">
        <v>75023511.700000942</v>
      </c>
      <c r="E26" s="12">
        <v>42741231.410000481</v>
      </c>
    </row>
    <row r="27" spans="1:5" x14ac:dyDescent="0.2">
      <c r="A27" s="9" t="s">
        <v>153</v>
      </c>
      <c r="C27" s="11">
        <v>7060071</v>
      </c>
      <c r="D27" s="12">
        <v>283462804.52968031</v>
      </c>
      <c r="E27" s="12">
        <v>161089982.9596802</v>
      </c>
    </row>
  </sheetData>
  <mergeCells count="1">
    <mergeCell ref="A1: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067AF-383B-46B7-B58C-619B240D2DE2}">
  <dimension ref="A1:F33"/>
  <sheetViews>
    <sheetView workbookViewId="0">
      <selection activeCell="N50" sqref="N50"/>
    </sheetView>
  </sheetViews>
  <sheetFormatPr defaultRowHeight="14.25" x14ac:dyDescent="0.2"/>
  <cols>
    <col min="1" max="1" width="34.25" style="9" bestFit="1" customWidth="1"/>
    <col min="2" max="2" width="30.375" style="9" bestFit="1" customWidth="1"/>
    <col min="3" max="3" width="15.875" style="9" bestFit="1" customWidth="1"/>
    <col min="4" max="4" width="21" style="9" bestFit="1" customWidth="1"/>
    <col min="5" max="5" width="13.25" style="13" bestFit="1" customWidth="1"/>
    <col min="6" max="6" width="15.125" style="1" bestFit="1" customWidth="1"/>
  </cols>
  <sheetData>
    <row r="1" spans="1:6" x14ac:dyDescent="0.2">
      <c r="A1" s="48" t="s">
        <v>172</v>
      </c>
      <c r="B1" s="47"/>
      <c r="C1" s="47"/>
      <c r="D1" s="47"/>
      <c r="E1" s="47"/>
      <c r="F1" s="47"/>
    </row>
    <row r="2" spans="1:6" x14ac:dyDescent="0.2">
      <c r="A2" s="47"/>
      <c r="B2" s="47"/>
      <c r="C2" s="47"/>
      <c r="D2" s="47"/>
      <c r="E2" s="47"/>
      <c r="F2" s="47"/>
    </row>
    <row r="3" spans="1:6" x14ac:dyDescent="0.2">
      <c r="A3" s="10" t="s">
        <v>90</v>
      </c>
      <c r="B3" s="10" t="s">
        <v>91</v>
      </c>
      <c r="C3" s="9" t="s">
        <v>165</v>
      </c>
      <c r="D3" s="9" t="s">
        <v>167</v>
      </c>
      <c r="E3" s="9" t="s">
        <v>166</v>
      </c>
      <c r="F3" s="13" t="s">
        <v>168</v>
      </c>
    </row>
    <row r="4" spans="1:6" x14ac:dyDescent="0.2">
      <c r="A4" s="9" t="s">
        <v>94</v>
      </c>
      <c r="B4" s="9" t="s">
        <v>95</v>
      </c>
      <c r="C4" s="12">
        <v>2025608.0890240059</v>
      </c>
      <c r="D4" s="12">
        <v>774824.96000001265</v>
      </c>
      <c r="E4" s="12">
        <v>1172986.749024001</v>
      </c>
      <c r="F4" s="13">
        <v>0.57907882348020168</v>
      </c>
    </row>
    <row r="5" spans="1:6" x14ac:dyDescent="0.2">
      <c r="B5" s="9" t="s">
        <v>96</v>
      </c>
      <c r="C5" s="12">
        <v>2711780.4519350245</v>
      </c>
      <c r="D5" s="12">
        <v>973294.78000000119</v>
      </c>
      <c r="E5" s="12">
        <v>1640276.8219350004</v>
      </c>
      <c r="F5" s="13">
        <v>0.60487080388995373</v>
      </c>
    </row>
    <row r="6" spans="1:6" x14ac:dyDescent="0.2">
      <c r="B6" s="9" t="s">
        <v>97</v>
      </c>
      <c r="C6" s="12">
        <v>6053364.0171629889</v>
      </c>
      <c r="D6" s="12">
        <v>2698107.7899999828</v>
      </c>
      <c r="E6" s="12">
        <v>3085689.2271630252</v>
      </c>
      <c r="F6" s="13">
        <v>0.50974783912122723</v>
      </c>
    </row>
    <row r="7" spans="1:6" x14ac:dyDescent="0.2">
      <c r="B7" s="9" t="s">
        <v>98</v>
      </c>
      <c r="C7" s="12">
        <v>7034310.149571972</v>
      </c>
      <c r="D7" s="12">
        <v>3175681.7099999567</v>
      </c>
      <c r="E7" s="12">
        <v>3545651.4995720284</v>
      </c>
      <c r="F7" s="13">
        <v>0.50405106175020964</v>
      </c>
    </row>
    <row r="8" spans="1:6" x14ac:dyDescent="0.2">
      <c r="B8" s="9" t="s">
        <v>99</v>
      </c>
      <c r="C8" s="12">
        <v>2966485.1582870004</v>
      </c>
      <c r="D8" s="12">
        <v>1120118.1700000134</v>
      </c>
      <c r="E8" s="12">
        <v>1736702.2782870056</v>
      </c>
      <c r="F8" s="13">
        <v>0.58544108115136029</v>
      </c>
    </row>
    <row r="9" spans="1:6" x14ac:dyDescent="0.2">
      <c r="B9" s="9" t="s">
        <v>100</v>
      </c>
      <c r="C9" s="12">
        <v>4418533.5851809876</v>
      </c>
      <c r="D9" s="12">
        <v>1839022.0900000299</v>
      </c>
      <c r="E9" s="12">
        <v>2399137.5251809568</v>
      </c>
      <c r="F9" s="13">
        <v>0.54297143586896279</v>
      </c>
    </row>
    <row r="10" spans="1:6" x14ac:dyDescent="0.2">
      <c r="A10" s="9" t="s">
        <v>169</v>
      </c>
      <c r="C10" s="12">
        <v>25210081.451161981</v>
      </c>
      <c r="D10" s="12">
        <v>10581049.499999996</v>
      </c>
      <c r="E10" s="12">
        <v>13580444.101162015</v>
      </c>
      <c r="F10" s="13">
        <v>0.53869100452811369</v>
      </c>
    </row>
    <row r="11" spans="1:6" x14ac:dyDescent="0.2">
      <c r="A11" s="9" t="s">
        <v>101</v>
      </c>
      <c r="B11" s="9" t="s">
        <v>95</v>
      </c>
      <c r="C11" s="12">
        <v>2340304.6459899964</v>
      </c>
      <c r="D11" s="12">
        <v>901852.56999998656</v>
      </c>
      <c r="E11" s="12">
        <v>1348048.5559900003</v>
      </c>
      <c r="F11" s="13">
        <v>0.57601413486907316</v>
      </c>
    </row>
    <row r="12" spans="1:6" x14ac:dyDescent="0.2">
      <c r="B12" s="9" t="s">
        <v>102</v>
      </c>
      <c r="C12" s="12">
        <v>19025492.378926244</v>
      </c>
      <c r="D12" s="12">
        <v>7567220.5100001115</v>
      </c>
      <c r="E12" s="12">
        <v>10707699.368926074</v>
      </c>
      <c r="F12" s="13">
        <v>0.56280800284499088</v>
      </c>
    </row>
    <row r="13" spans="1:6" x14ac:dyDescent="0.2">
      <c r="B13" s="9" t="s">
        <v>103</v>
      </c>
      <c r="C13" s="12">
        <v>17732630.484182768</v>
      </c>
      <c r="D13" s="12">
        <v>7394111.8599996632</v>
      </c>
      <c r="E13" s="12">
        <v>9595533.8841830716</v>
      </c>
      <c r="F13" s="13">
        <v>0.54112298188033292</v>
      </c>
    </row>
    <row r="14" spans="1:6" x14ac:dyDescent="0.2">
      <c r="B14" s="9" t="s">
        <v>104</v>
      </c>
      <c r="C14" s="12">
        <v>4084487.5440799817</v>
      </c>
      <c r="D14" s="12">
        <v>1548487.7099999576</v>
      </c>
      <c r="E14" s="12">
        <v>2376651.0440800209</v>
      </c>
      <c r="F14" s="13">
        <v>0.58187251605766721</v>
      </c>
    </row>
    <row r="15" spans="1:6" x14ac:dyDescent="0.2">
      <c r="B15" s="9" t="s">
        <v>105</v>
      </c>
      <c r="C15" s="12">
        <v>17358285.775414903</v>
      </c>
      <c r="D15" s="12">
        <v>6523951.7400002582</v>
      </c>
      <c r="E15" s="12">
        <v>10181725.835414739</v>
      </c>
      <c r="F15" s="13">
        <v>0.5865628649711162</v>
      </c>
    </row>
    <row r="16" spans="1:6" x14ac:dyDescent="0.2">
      <c r="B16" s="9" t="s">
        <v>106</v>
      </c>
      <c r="C16" s="12">
        <v>11588395.874077946</v>
      </c>
      <c r="D16" s="12">
        <v>4585474.5599999232</v>
      </c>
      <c r="E16" s="12">
        <v>6542637.1540779807</v>
      </c>
      <c r="F16" s="13">
        <v>0.56458523036076025</v>
      </c>
    </row>
    <row r="17" spans="1:6" x14ac:dyDescent="0.2">
      <c r="B17" s="9" t="s">
        <v>107</v>
      </c>
      <c r="C17" s="12">
        <v>8443040.9599367604</v>
      </c>
      <c r="D17" s="12">
        <v>3435960.5900000324</v>
      </c>
      <c r="E17" s="12">
        <v>4659930.3999369498</v>
      </c>
      <c r="F17" s="13">
        <v>0.5519255943502912</v>
      </c>
    </row>
    <row r="18" spans="1:6" x14ac:dyDescent="0.2">
      <c r="B18" s="9" t="s">
        <v>108</v>
      </c>
      <c r="C18" s="12">
        <v>12496633.959404765</v>
      </c>
      <c r="D18" s="12">
        <v>4647564.1500001522</v>
      </c>
      <c r="E18" s="12">
        <v>7385699.1994049633</v>
      </c>
      <c r="F18" s="13">
        <v>0.59101508641425837</v>
      </c>
    </row>
    <row r="19" spans="1:6" x14ac:dyDescent="0.2">
      <c r="B19" s="9" t="s">
        <v>109</v>
      </c>
      <c r="C19" s="12">
        <v>26836853.503874969</v>
      </c>
      <c r="D19" s="12">
        <v>10457506.87000056</v>
      </c>
      <c r="E19" s="12">
        <v>15321278.633874506</v>
      </c>
      <c r="F19" s="13">
        <v>0.57090443302760019</v>
      </c>
    </row>
    <row r="20" spans="1:6" x14ac:dyDescent="0.2">
      <c r="B20" s="9" t="s">
        <v>110</v>
      </c>
      <c r="C20" s="12">
        <v>13087385.778081203</v>
      </c>
      <c r="D20" s="12">
        <v>5208382.6999999825</v>
      </c>
      <c r="E20" s="12">
        <v>7356420.588081033</v>
      </c>
      <c r="F20" s="13">
        <v>0.56210007963558239</v>
      </c>
    </row>
    <row r="21" spans="1:6" x14ac:dyDescent="0.2">
      <c r="B21" s="9" t="s">
        <v>111</v>
      </c>
      <c r="C21" s="12">
        <v>7561472.0610689009</v>
      </c>
      <c r="D21" s="12">
        <v>2856465.9399999548</v>
      </c>
      <c r="E21" s="12">
        <v>4421693.2410690077</v>
      </c>
      <c r="F21" s="13">
        <v>0.58476619438093258</v>
      </c>
    </row>
    <row r="22" spans="1:6" x14ac:dyDescent="0.2">
      <c r="A22" s="9" t="s">
        <v>170</v>
      </c>
      <c r="C22" s="12">
        <v>140554982.96503845</v>
      </c>
      <c r="D22" s="12">
        <v>55126979.200000577</v>
      </c>
      <c r="E22" s="12">
        <v>79897317.905038342</v>
      </c>
      <c r="F22" s="13">
        <v>0.56844173162407163</v>
      </c>
    </row>
    <row r="23" spans="1:6" x14ac:dyDescent="0.2">
      <c r="A23" s="9" t="s">
        <v>112</v>
      </c>
      <c r="B23" s="9" t="s">
        <v>95</v>
      </c>
      <c r="C23" s="12">
        <v>2269285.2058899868</v>
      </c>
      <c r="D23" s="12">
        <v>885896.21000000823</v>
      </c>
      <c r="E23" s="12">
        <v>1294722.1058900079</v>
      </c>
      <c r="F23" s="13">
        <v>0.57054181754216005</v>
      </c>
    </row>
    <row r="24" spans="1:6" x14ac:dyDescent="0.2">
      <c r="B24" s="9" t="s">
        <v>102</v>
      </c>
      <c r="C24" s="12">
        <v>19531224.288401894</v>
      </c>
      <c r="D24" s="12">
        <v>7482578.3499997109</v>
      </c>
      <c r="E24" s="12">
        <v>11300497.678401938</v>
      </c>
      <c r="F24" s="13">
        <v>0.57858624280467874</v>
      </c>
    </row>
    <row r="25" spans="1:6" x14ac:dyDescent="0.2">
      <c r="B25" s="9" t="s">
        <v>105</v>
      </c>
      <c r="C25" s="12">
        <v>18635628.332393218</v>
      </c>
      <c r="D25" s="12">
        <v>7453826.4300001059</v>
      </c>
      <c r="E25" s="12">
        <v>10416153.022393076</v>
      </c>
      <c r="F25" s="13">
        <v>0.5589375811003533</v>
      </c>
    </row>
    <row r="26" spans="1:6" x14ac:dyDescent="0.2">
      <c r="B26" s="9" t="s">
        <v>113</v>
      </c>
      <c r="C26" s="12">
        <v>8852666.7976527847</v>
      </c>
      <c r="D26" s="12">
        <v>3555056.9599998174</v>
      </c>
      <c r="E26" s="12">
        <v>4943318.1776530175</v>
      </c>
      <c r="F26" s="13">
        <v>0.55839876171140879</v>
      </c>
    </row>
    <row r="27" spans="1:6" x14ac:dyDescent="0.2">
      <c r="B27" s="9" t="s">
        <v>108</v>
      </c>
      <c r="C27" s="12">
        <v>13038367.124409974</v>
      </c>
      <c r="D27" s="12">
        <v>4929074.0599996848</v>
      </c>
      <c r="E27" s="12">
        <v>7615062.2544099959</v>
      </c>
      <c r="F27" s="13">
        <v>0.58405030183214768</v>
      </c>
    </row>
    <row r="28" spans="1:6" x14ac:dyDescent="0.2">
      <c r="B28" s="9" t="s">
        <v>114</v>
      </c>
      <c r="C28" s="12">
        <v>27117035.863165215</v>
      </c>
      <c r="D28" s="12">
        <v>10366983.169999504</v>
      </c>
      <c r="E28" s="12">
        <v>15714423.263165101</v>
      </c>
      <c r="F28" s="13">
        <v>0.57950372387532945</v>
      </c>
    </row>
    <row r="29" spans="1:6" x14ac:dyDescent="0.2">
      <c r="B29" s="9" t="s">
        <v>115</v>
      </c>
      <c r="C29" s="12">
        <v>13070132.055515962</v>
      </c>
      <c r="D29" s="12">
        <v>5107007.2900001062</v>
      </c>
      <c r="E29" s="12">
        <v>7450418.5955158519</v>
      </c>
      <c r="F29" s="13">
        <v>0.57003391885176602</v>
      </c>
    </row>
    <row r="30" spans="1:6" x14ac:dyDescent="0.2">
      <c r="B30" s="9" t="s">
        <v>116</v>
      </c>
      <c r="C30" s="12">
        <v>11080473.126290066</v>
      </c>
      <c r="D30" s="12">
        <v>4200986.4699997772</v>
      </c>
      <c r="E30" s="12">
        <v>6454430.8862901907</v>
      </c>
      <c r="F30" s="13">
        <v>0.58250498987954724</v>
      </c>
    </row>
    <row r="31" spans="1:6" x14ac:dyDescent="0.2">
      <c r="B31" s="9" t="s">
        <v>117</v>
      </c>
      <c r="C31" s="12">
        <v>4102927.3197599766</v>
      </c>
      <c r="D31" s="12">
        <v>1527699.5800000275</v>
      </c>
      <c r="E31" s="12">
        <v>2423194.9697599984</v>
      </c>
      <c r="F31" s="13">
        <v>0.59060148545398961</v>
      </c>
    </row>
    <row r="32" spans="1:6" x14ac:dyDescent="0.2">
      <c r="A32" s="9" t="s">
        <v>171</v>
      </c>
      <c r="C32" s="12">
        <v>117697740.11347908</v>
      </c>
      <c r="D32" s="12">
        <v>45509108.519998737</v>
      </c>
      <c r="E32" s="12">
        <v>67612220.953479186</v>
      </c>
      <c r="F32" s="13">
        <v>0.5744564074746924</v>
      </c>
    </row>
    <row r="33" spans="1:6" x14ac:dyDescent="0.2">
      <c r="A33" s="9" t="s">
        <v>153</v>
      </c>
      <c r="C33" s="12">
        <v>283462804.52967948</v>
      </c>
      <c r="D33" s="12">
        <v>111217137.21999933</v>
      </c>
      <c r="E33" s="12">
        <v>161089982.95967954</v>
      </c>
      <c r="F33" s="13">
        <v>0.5682931953875201</v>
      </c>
    </row>
  </sheetData>
  <mergeCells count="1">
    <mergeCell ref="A1: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D7A8-E7EC-470C-B14E-B03A1FDB0A89}">
  <dimension ref="A1:E33"/>
  <sheetViews>
    <sheetView workbookViewId="0">
      <selection sqref="A1:E2"/>
    </sheetView>
  </sheetViews>
  <sheetFormatPr defaultRowHeight="14.25" x14ac:dyDescent="0.2"/>
  <cols>
    <col min="1" max="1" width="34.25" style="9" bestFit="1" customWidth="1"/>
    <col min="2" max="2" width="22.375" style="9" bestFit="1" customWidth="1"/>
    <col min="3" max="3" width="15.875" style="9" bestFit="1" customWidth="1"/>
    <col min="4" max="4" width="21.75" style="9" bestFit="1" customWidth="1"/>
    <col min="5" max="5" width="15.25" style="9" bestFit="1" customWidth="1"/>
  </cols>
  <sheetData>
    <row r="1" spans="1:5" x14ac:dyDescent="0.2">
      <c r="A1" s="49" t="s">
        <v>176</v>
      </c>
      <c r="B1" s="47"/>
      <c r="C1" s="47"/>
      <c r="D1" s="47"/>
      <c r="E1" s="47"/>
    </row>
    <row r="2" spans="1:5" x14ac:dyDescent="0.2">
      <c r="A2" s="47"/>
      <c r="B2" s="47"/>
      <c r="C2" s="47"/>
      <c r="D2" s="47"/>
      <c r="E2" s="47"/>
    </row>
    <row r="3" spans="1:5" x14ac:dyDescent="0.2">
      <c r="A3" s="10" t="s">
        <v>152</v>
      </c>
      <c r="B3" s="9" t="s">
        <v>173</v>
      </c>
      <c r="C3" s="9" t="s">
        <v>165</v>
      </c>
      <c r="D3" s="9" t="s">
        <v>174</v>
      </c>
      <c r="E3" s="9" t="s">
        <v>175</v>
      </c>
    </row>
    <row r="4" spans="1:5" x14ac:dyDescent="0.2">
      <c r="A4" s="9" t="s">
        <v>94</v>
      </c>
      <c r="B4" s="12">
        <v>34650940.394179977</v>
      </c>
      <c r="C4" s="12">
        <v>25210081.451161981</v>
      </c>
      <c r="D4" s="12">
        <v>9440858.9430179503</v>
      </c>
      <c r="E4" s="14">
        <v>0.39846689965429882</v>
      </c>
    </row>
    <row r="5" spans="1:5" x14ac:dyDescent="0.2">
      <c r="A5" s="9" t="s">
        <v>95</v>
      </c>
      <c r="B5" s="12">
        <v>2615062.8739200062</v>
      </c>
      <c r="C5" s="12">
        <v>2025608.0890240062</v>
      </c>
      <c r="D5" s="12">
        <v>589454.78489600262</v>
      </c>
      <c r="E5" s="14">
        <v>0.31220514097219254</v>
      </c>
    </row>
    <row r="6" spans="1:5" x14ac:dyDescent="0.2">
      <c r="A6" s="9" t="s">
        <v>96</v>
      </c>
      <c r="B6" s="12">
        <v>3342426.3029450225</v>
      </c>
      <c r="C6" s="12">
        <v>2711780.451935024</v>
      </c>
      <c r="D6" s="12">
        <v>630645.85100999929</v>
      </c>
      <c r="E6" s="14">
        <v>0.503784796228121</v>
      </c>
    </row>
    <row r="7" spans="1:5" x14ac:dyDescent="0.2">
      <c r="A7" s="9" t="s">
        <v>97</v>
      </c>
      <c r="B7" s="12">
        <v>8607723.6513000298</v>
      </c>
      <c r="C7" s="12">
        <v>6053364.0171629889</v>
      </c>
      <c r="D7" s="12">
        <v>2554359.6341370009</v>
      </c>
      <c r="E7" s="14">
        <v>0.44940392045986249</v>
      </c>
    </row>
    <row r="8" spans="1:5" x14ac:dyDescent="0.2">
      <c r="A8" s="9" t="s">
        <v>98</v>
      </c>
      <c r="B8" s="12">
        <v>10574856.666144911</v>
      </c>
      <c r="C8" s="12">
        <v>7034310.149571972</v>
      </c>
      <c r="D8" s="12">
        <v>3540546.5165729402</v>
      </c>
      <c r="E8" s="14">
        <v>0.38407397562943552</v>
      </c>
    </row>
    <row r="9" spans="1:5" x14ac:dyDescent="0.2">
      <c r="A9" s="9" t="s">
        <v>99</v>
      </c>
      <c r="B9" s="12">
        <v>3736469.6827350012</v>
      </c>
      <c r="C9" s="12">
        <v>2966485.1582870008</v>
      </c>
      <c r="D9" s="12">
        <v>769984.52444800269</v>
      </c>
      <c r="E9" s="14">
        <v>0.38421222960313434</v>
      </c>
    </row>
    <row r="10" spans="1:5" x14ac:dyDescent="0.2">
      <c r="A10" s="9" t="s">
        <v>100</v>
      </c>
      <c r="B10" s="12">
        <v>5774401.2171350075</v>
      </c>
      <c r="C10" s="12">
        <v>4418533.5851809876</v>
      </c>
      <c r="D10" s="12">
        <v>1355867.6319540036</v>
      </c>
      <c r="E10" s="14">
        <v>0.35712133503304705</v>
      </c>
    </row>
    <row r="11" spans="1:5" x14ac:dyDescent="0.2">
      <c r="A11" s="9" t="s">
        <v>101</v>
      </c>
      <c r="B11" s="12">
        <v>178632881.37819591</v>
      </c>
      <c r="C11" s="12">
        <v>140554982.96503845</v>
      </c>
      <c r="D11" s="12">
        <v>38077898.41315604</v>
      </c>
      <c r="E11" s="14">
        <v>0.45460813343247719</v>
      </c>
    </row>
    <row r="12" spans="1:5" x14ac:dyDescent="0.2">
      <c r="A12" s="9" t="s">
        <v>95</v>
      </c>
      <c r="B12" s="12">
        <v>2878935.1785699832</v>
      </c>
      <c r="C12" s="12">
        <v>2340304.6459899964</v>
      </c>
      <c r="D12" s="12">
        <v>538630.53258000093</v>
      </c>
      <c r="E12" s="14">
        <v>0.50355879561728956</v>
      </c>
    </row>
    <row r="13" spans="1:5" x14ac:dyDescent="0.2">
      <c r="A13" s="9" t="s">
        <v>102</v>
      </c>
      <c r="B13" s="12">
        <v>23940467.483070381</v>
      </c>
      <c r="C13" s="12">
        <v>19025492.37892624</v>
      </c>
      <c r="D13" s="12">
        <v>4914975.1041440023</v>
      </c>
      <c r="E13" s="14">
        <v>0.47063749836145696</v>
      </c>
    </row>
    <row r="14" spans="1:5" x14ac:dyDescent="0.2">
      <c r="A14" s="9" t="s">
        <v>103</v>
      </c>
      <c r="B14" s="12">
        <v>24075010.701579548</v>
      </c>
      <c r="C14" s="12">
        <v>17732630.484182771</v>
      </c>
      <c r="D14" s="12">
        <v>6342380.2173970649</v>
      </c>
      <c r="E14" s="14">
        <v>0.41047974963185296</v>
      </c>
    </row>
    <row r="15" spans="1:5" x14ac:dyDescent="0.2">
      <c r="A15" s="9" t="s">
        <v>104</v>
      </c>
      <c r="B15" s="12">
        <v>5024963.6686699511</v>
      </c>
      <c r="C15" s="12">
        <v>4084487.5440799813</v>
      </c>
      <c r="D15" s="12">
        <v>940476.12459000503</v>
      </c>
      <c r="E15" s="14">
        <v>0.5037258844163075</v>
      </c>
    </row>
    <row r="16" spans="1:5" x14ac:dyDescent="0.2">
      <c r="A16" s="9" t="s">
        <v>105</v>
      </c>
      <c r="B16" s="12">
        <v>21341787.206244882</v>
      </c>
      <c r="C16" s="12">
        <v>17358285.775414903</v>
      </c>
      <c r="D16" s="12">
        <v>3983501.430829999</v>
      </c>
      <c r="E16" s="14">
        <v>0.50364910325912038</v>
      </c>
    </row>
    <row r="17" spans="1:5" x14ac:dyDescent="0.2">
      <c r="A17" s="9" t="s">
        <v>106</v>
      </c>
      <c r="B17" s="12">
        <v>15589829.324169848</v>
      </c>
      <c r="C17" s="12">
        <v>11588395.874077946</v>
      </c>
      <c r="D17" s="12">
        <v>4001433.4500919878</v>
      </c>
      <c r="E17" s="14">
        <v>0.43709359774631601</v>
      </c>
    </row>
    <row r="18" spans="1:5" x14ac:dyDescent="0.2">
      <c r="A18" s="9" t="s">
        <v>107</v>
      </c>
      <c r="B18" s="12">
        <v>11051930.940169945</v>
      </c>
      <c r="C18" s="12">
        <v>8443040.9599367622</v>
      </c>
      <c r="D18" s="12">
        <v>2608889.980233029</v>
      </c>
      <c r="E18" s="14">
        <v>0.43622646039497048</v>
      </c>
    </row>
    <row r="19" spans="1:5" x14ac:dyDescent="0.2">
      <c r="A19" s="9" t="s">
        <v>108</v>
      </c>
      <c r="B19" s="12">
        <v>15588110.356295094</v>
      </c>
      <c r="C19" s="12">
        <v>12496633.959404765</v>
      </c>
      <c r="D19" s="12">
        <v>3091476.3968900014</v>
      </c>
      <c r="E19" s="14">
        <v>0.40117981581292589</v>
      </c>
    </row>
    <row r="20" spans="1:5" x14ac:dyDescent="0.2">
      <c r="A20" s="9" t="s">
        <v>109</v>
      </c>
      <c r="B20" s="12">
        <v>33039438.738121014</v>
      </c>
      <c r="C20" s="12">
        <v>26836853.503874965</v>
      </c>
      <c r="D20" s="12">
        <v>6202585.2342449548</v>
      </c>
      <c r="E20" s="14">
        <v>0.50361407181151874</v>
      </c>
    </row>
    <row r="21" spans="1:5" x14ac:dyDescent="0.2">
      <c r="A21" s="9" t="s">
        <v>110</v>
      </c>
      <c r="B21" s="12">
        <v>16655000.962535445</v>
      </c>
      <c r="C21" s="12">
        <v>13087385.778081201</v>
      </c>
      <c r="D21" s="12">
        <v>3567615.1844539857</v>
      </c>
      <c r="E21" s="14">
        <v>0.40015410341318858</v>
      </c>
    </row>
    <row r="22" spans="1:5" x14ac:dyDescent="0.2">
      <c r="A22" s="9" t="s">
        <v>111</v>
      </c>
      <c r="B22" s="12">
        <v>9447406.8187698033</v>
      </c>
      <c r="C22" s="12">
        <v>7561472.0610688999</v>
      </c>
      <c r="D22" s="12">
        <v>1885934.757701013</v>
      </c>
      <c r="E22" s="14">
        <v>0.43037038729230226</v>
      </c>
    </row>
    <row r="23" spans="1:5" x14ac:dyDescent="0.2">
      <c r="A23" s="9" t="s">
        <v>112</v>
      </c>
      <c r="B23" s="12">
        <v>149884795.89505056</v>
      </c>
      <c r="C23" s="12">
        <v>117697740.11347908</v>
      </c>
      <c r="D23" s="12">
        <v>32187055.781570971</v>
      </c>
      <c r="E23" s="14">
        <v>0.44923363263139404</v>
      </c>
    </row>
    <row r="24" spans="1:5" x14ac:dyDescent="0.2">
      <c r="A24" s="9" t="s">
        <v>95</v>
      </c>
      <c r="B24" s="12">
        <v>2789539.1010249807</v>
      </c>
      <c r="C24" s="12">
        <v>2269285.2058899868</v>
      </c>
      <c r="D24" s="12">
        <v>520253.89513500326</v>
      </c>
      <c r="E24" s="14">
        <v>0.50377676104972413</v>
      </c>
    </row>
    <row r="25" spans="1:5" x14ac:dyDescent="0.2">
      <c r="A25" s="9" t="s">
        <v>102</v>
      </c>
      <c r="B25" s="12">
        <v>24584705.276374701</v>
      </c>
      <c r="C25" s="12">
        <v>19531224.288401894</v>
      </c>
      <c r="D25" s="12">
        <v>5053480.987972999</v>
      </c>
      <c r="E25" s="14">
        <v>0.47060270065768239</v>
      </c>
    </row>
    <row r="26" spans="1:5" x14ac:dyDescent="0.2">
      <c r="A26" s="9" t="s">
        <v>105</v>
      </c>
      <c r="B26" s="12">
        <v>24714301.641725678</v>
      </c>
      <c r="C26" s="12">
        <v>18635628.332393218</v>
      </c>
      <c r="D26" s="12">
        <v>6078673.3093319684</v>
      </c>
      <c r="E26" s="14">
        <v>0.42829226924564667</v>
      </c>
    </row>
    <row r="27" spans="1:5" x14ac:dyDescent="0.2">
      <c r="A27" s="9" t="s">
        <v>113</v>
      </c>
      <c r="B27" s="12">
        <v>12002715.410899922</v>
      </c>
      <c r="C27" s="12">
        <v>8852666.7976527847</v>
      </c>
      <c r="D27" s="12">
        <v>3150048.6132470304</v>
      </c>
      <c r="E27" s="14">
        <v>0.4380909573330542</v>
      </c>
    </row>
    <row r="28" spans="1:5" x14ac:dyDescent="0.2">
      <c r="A28" s="9" t="s">
        <v>108</v>
      </c>
      <c r="B28" s="12">
        <v>16273518.618405199</v>
      </c>
      <c r="C28" s="12">
        <v>13038367.124409974</v>
      </c>
      <c r="D28" s="12">
        <v>3235151.4939949866</v>
      </c>
      <c r="E28" s="14">
        <v>0.40154179408766272</v>
      </c>
    </row>
    <row r="29" spans="1:5" x14ac:dyDescent="0.2">
      <c r="A29" s="9" t="s">
        <v>114</v>
      </c>
      <c r="B29" s="12">
        <v>33388890.21471002</v>
      </c>
      <c r="C29" s="12">
        <v>27117035.863165215</v>
      </c>
      <c r="D29" s="12">
        <v>6271854.351545007</v>
      </c>
      <c r="E29" s="14">
        <v>0.50361186786991052</v>
      </c>
    </row>
    <row r="30" spans="1:5" x14ac:dyDescent="0.2">
      <c r="A30" s="9" t="s">
        <v>115</v>
      </c>
      <c r="B30" s="12">
        <v>16616662.551769977</v>
      </c>
      <c r="C30" s="12">
        <v>13070132.055515962</v>
      </c>
      <c r="D30" s="12">
        <v>3546530.4962539794</v>
      </c>
      <c r="E30" s="14">
        <v>0.40056002574826577</v>
      </c>
    </row>
    <row r="31" spans="1:5" x14ac:dyDescent="0.2">
      <c r="A31" s="9" t="s">
        <v>116</v>
      </c>
      <c r="B31" s="12">
        <v>14461702.435225088</v>
      </c>
      <c r="C31" s="12">
        <v>11080473.126290068</v>
      </c>
      <c r="D31" s="12">
        <v>3381229.3089349936</v>
      </c>
      <c r="E31" s="14">
        <v>0.39269191968792971</v>
      </c>
    </row>
    <row r="32" spans="1:5" x14ac:dyDescent="0.2">
      <c r="A32" s="9" t="s">
        <v>117</v>
      </c>
      <c r="B32" s="12">
        <v>5052760.6449149745</v>
      </c>
      <c r="C32" s="12">
        <v>4102927.3197599761</v>
      </c>
      <c r="D32" s="12">
        <v>949833.3251550101</v>
      </c>
      <c r="E32" s="14">
        <v>0.5039343980026697</v>
      </c>
    </row>
    <row r="33" spans="1:5" x14ac:dyDescent="0.2">
      <c r="A33" s="9" t="s">
        <v>153</v>
      </c>
      <c r="B33" s="12">
        <v>363168617.66742641</v>
      </c>
      <c r="C33" s="12">
        <v>283462804.52967948</v>
      </c>
      <c r="D33" s="12">
        <v>79705813.137744963</v>
      </c>
      <c r="E33" s="14">
        <v>0.43979205997559961</v>
      </c>
    </row>
  </sheetData>
  <mergeCells count="1">
    <mergeCell ref="A1:E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4A520-719D-41A7-A07A-66AE92D0E147}">
  <dimension ref="A1:F13"/>
  <sheetViews>
    <sheetView workbookViewId="0">
      <selection activeCell="G7" sqref="G7"/>
    </sheetView>
  </sheetViews>
  <sheetFormatPr defaultRowHeight="14.25" x14ac:dyDescent="0.2"/>
  <cols>
    <col min="1" max="1" width="13.875" style="9" bestFit="1" customWidth="1"/>
    <col min="2" max="2" width="15.375" style="9" bestFit="1" customWidth="1"/>
    <col min="3" max="3" width="15.875" style="9" bestFit="1" customWidth="1"/>
    <col min="4" max="4" width="14.125" style="9" bestFit="1" customWidth="1"/>
    <col min="5" max="5" width="15.375" style="16" bestFit="1" customWidth="1"/>
    <col min="6" max="6" width="17.375" style="17" bestFit="1" customWidth="1"/>
  </cols>
  <sheetData>
    <row r="1" spans="1:6" x14ac:dyDescent="0.2">
      <c r="A1" s="49" t="s">
        <v>217</v>
      </c>
      <c r="B1" s="47"/>
      <c r="C1" s="47"/>
      <c r="D1" s="47"/>
      <c r="E1" s="47"/>
      <c r="F1" s="47"/>
    </row>
    <row r="2" spans="1:6" x14ac:dyDescent="0.2">
      <c r="A2" s="47"/>
      <c r="B2" s="47"/>
      <c r="C2" s="47"/>
      <c r="D2" s="47"/>
      <c r="E2" s="47"/>
      <c r="F2" s="47"/>
    </row>
    <row r="3" spans="1:6" x14ac:dyDescent="0.2">
      <c r="A3" s="9" t="s">
        <v>121</v>
      </c>
      <c r="B3" s="9" t="s">
        <v>122</v>
      </c>
      <c r="C3" s="9" t="s">
        <v>1</v>
      </c>
      <c r="D3" s="9" t="s">
        <v>123</v>
      </c>
      <c r="E3" s="16" t="s">
        <v>92</v>
      </c>
      <c r="F3" s="17" t="s">
        <v>7</v>
      </c>
    </row>
    <row r="4" spans="1:6" x14ac:dyDescent="0.2">
      <c r="A4" s="9">
        <v>23</v>
      </c>
      <c r="B4" s="9" t="s">
        <v>124</v>
      </c>
      <c r="C4" s="9" t="s">
        <v>15</v>
      </c>
      <c r="D4" s="9" t="s">
        <v>125</v>
      </c>
      <c r="E4" s="16">
        <v>72039</v>
      </c>
      <c r="F4" s="17">
        <v>2911265.0299999993</v>
      </c>
    </row>
    <row r="5" spans="1:6" x14ac:dyDescent="0.2">
      <c r="A5" s="9">
        <v>19</v>
      </c>
      <c r="B5" s="9" t="s">
        <v>126</v>
      </c>
      <c r="C5" s="9" t="s">
        <v>15</v>
      </c>
      <c r="D5" s="9" t="s">
        <v>125</v>
      </c>
      <c r="E5" s="16">
        <v>72289</v>
      </c>
      <c r="F5" s="17">
        <v>2900196.1699999906</v>
      </c>
    </row>
    <row r="6" spans="1:6" x14ac:dyDescent="0.2">
      <c r="A6" s="9">
        <v>18</v>
      </c>
      <c r="B6" s="9" t="s">
        <v>127</v>
      </c>
      <c r="C6" s="9" t="s">
        <v>15</v>
      </c>
      <c r="D6" s="9" t="s">
        <v>125</v>
      </c>
      <c r="E6" s="16">
        <v>71907</v>
      </c>
      <c r="F6" s="17">
        <v>2891260.5899999919</v>
      </c>
    </row>
    <row r="7" spans="1:6" x14ac:dyDescent="0.2">
      <c r="A7" s="9">
        <v>22</v>
      </c>
      <c r="B7" s="9" t="s">
        <v>128</v>
      </c>
      <c r="C7" s="9" t="s">
        <v>15</v>
      </c>
      <c r="D7" s="9" t="s">
        <v>125</v>
      </c>
      <c r="E7" s="16">
        <v>71591</v>
      </c>
      <c r="F7" s="17">
        <v>2887905.2399999984</v>
      </c>
    </row>
    <row r="8" spans="1:6" x14ac:dyDescent="0.2">
      <c r="A8" s="9">
        <v>21</v>
      </c>
      <c r="B8" s="9" t="s">
        <v>129</v>
      </c>
      <c r="C8" s="9" t="s">
        <v>15</v>
      </c>
      <c r="D8" s="9" t="s">
        <v>125</v>
      </c>
      <c r="E8" s="16">
        <v>71484</v>
      </c>
      <c r="F8" s="17">
        <v>2887212.6699999887</v>
      </c>
    </row>
    <row r="9" spans="1:6" x14ac:dyDescent="0.2">
      <c r="A9" s="9">
        <v>24</v>
      </c>
      <c r="B9" s="9" t="s">
        <v>130</v>
      </c>
      <c r="C9" s="9" t="s">
        <v>15</v>
      </c>
      <c r="D9" s="9" t="s">
        <v>125</v>
      </c>
      <c r="E9" s="16">
        <v>71408</v>
      </c>
      <c r="F9" s="17">
        <v>2876781.4499999979</v>
      </c>
    </row>
    <row r="10" spans="1:6" x14ac:dyDescent="0.2">
      <c r="A10" s="9">
        <v>20</v>
      </c>
      <c r="B10" s="9" t="s">
        <v>131</v>
      </c>
      <c r="C10" s="9" t="s">
        <v>15</v>
      </c>
      <c r="D10" s="9" t="s">
        <v>125</v>
      </c>
      <c r="E10" s="16">
        <v>71023</v>
      </c>
      <c r="F10" s="17">
        <v>2857512.52999999</v>
      </c>
    </row>
    <row r="11" spans="1:6" x14ac:dyDescent="0.2">
      <c r="A11" s="9">
        <v>72</v>
      </c>
      <c r="B11" s="9" t="s">
        <v>177</v>
      </c>
      <c r="C11" s="9" t="s">
        <v>24</v>
      </c>
      <c r="D11" s="9" t="s">
        <v>125</v>
      </c>
      <c r="E11" s="16">
        <v>60553</v>
      </c>
      <c r="F11" s="17">
        <v>2630593.1032319944</v>
      </c>
    </row>
    <row r="12" spans="1:6" x14ac:dyDescent="0.2">
      <c r="A12" s="9">
        <v>68</v>
      </c>
      <c r="B12" s="9" t="s">
        <v>178</v>
      </c>
      <c r="C12" s="9" t="s">
        <v>24</v>
      </c>
      <c r="D12" s="9" t="s">
        <v>125</v>
      </c>
      <c r="E12" s="16">
        <v>60440</v>
      </c>
      <c r="F12" s="17">
        <v>2625568.6725300108</v>
      </c>
    </row>
    <row r="13" spans="1:6" x14ac:dyDescent="0.2">
      <c r="A13" s="9">
        <v>69</v>
      </c>
      <c r="B13" s="9" t="s">
        <v>179</v>
      </c>
      <c r="C13" s="9" t="s">
        <v>24</v>
      </c>
      <c r="D13" s="9" t="s">
        <v>125</v>
      </c>
      <c r="E13" s="16">
        <v>60099</v>
      </c>
      <c r="F13" s="17">
        <v>2614125.7623390076</v>
      </c>
    </row>
  </sheetData>
  <mergeCells count="1">
    <mergeCell ref="A1:F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16538-9192-4831-9F70-7BC07763CD56}">
  <dimension ref="A1:H12"/>
  <sheetViews>
    <sheetView workbookViewId="0">
      <selection activeCell="J14" sqref="J14"/>
    </sheetView>
  </sheetViews>
  <sheetFormatPr defaultRowHeight="14.25" x14ac:dyDescent="0.2"/>
  <cols>
    <col min="1" max="1" width="13.875" style="9" bestFit="1" customWidth="1"/>
    <col min="2" max="2" width="13.125" style="9" bestFit="1" customWidth="1"/>
    <col min="3" max="3" width="9.875" style="9" bestFit="1" customWidth="1"/>
    <col min="4" max="4" width="10.25" style="9" bestFit="1" customWidth="1"/>
    <col min="5" max="5" width="9.625" style="9" bestFit="1" customWidth="1"/>
    <col min="6" max="6" width="30.75" style="9" bestFit="1" customWidth="1"/>
    <col min="7" max="7" width="17.375" style="17" bestFit="1" customWidth="1"/>
    <col min="8" max="8" width="15.375" style="9" bestFit="1" customWidth="1"/>
  </cols>
  <sheetData>
    <row r="1" spans="1:8" x14ac:dyDescent="0.2">
      <c r="A1" s="48" t="s">
        <v>204</v>
      </c>
      <c r="B1" s="47"/>
      <c r="C1" s="47"/>
      <c r="D1" s="47"/>
      <c r="E1" s="47"/>
      <c r="F1" s="47"/>
      <c r="G1" s="47"/>
      <c r="H1" s="47"/>
    </row>
    <row r="2" spans="1:8" x14ac:dyDescent="0.2">
      <c r="A2" s="47"/>
      <c r="B2" s="47"/>
      <c r="C2" s="47"/>
      <c r="D2" s="47"/>
      <c r="E2" s="47"/>
      <c r="F2" s="47"/>
      <c r="G2" s="47"/>
      <c r="H2" s="47"/>
    </row>
    <row r="3" spans="1:8" x14ac:dyDescent="0.2">
      <c r="A3" s="9" t="s">
        <v>180</v>
      </c>
      <c r="B3" s="9" t="s">
        <v>181</v>
      </c>
      <c r="C3" s="9" t="s">
        <v>2</v>
      </c>
      <c r="D3" s="9" t="s">
        <v>182</v>
      </c>
      <c r="E3" s="9" t="s">
        <v>183</v>
      </c>
      <c r="F3" s="9" t="s">
        <v>184</v>
      </c>
      <c r="G3" s="17" t="s">
        <v>216</v>
      </c>
      <c r="H3" s="9" t="s">
        <v>92</v>
      </c>
    </row>
    <row r="4" spans="1:8" x14ac:dyDescent="0.2">
      <c r="A4" s="9">
        <v>492737</v>
      </c>
      <c r="B4" s="9" t="s">
        <v>185</v>
      </c>
      <c r="C4" s="9" t="s">
        <v>25</v>
      </c>
      <c r="D4" s="9" t="s">
        <v>30</v>
      </c>
      <c r="E4" s="9" t="s">
        <v>186</v>
      </c>
      <c r="F4" s="9" t="s">
        <v>187</v>
      </c>
      <c r="G4" s="17">
        <v>3017.022798</v>
      </c>
      <c r="H4" s="9">
        <v>54</v>
      </c>
    </row>
    <row r="5" spans="1:8" x14ac:dyDescent="0.2">
      <c r="A5" s="9">
        <v>504099</v>
      </c>
      <c r="B5" s="9" t="s">
        <v>188</v>
      </c>
      <c r="C5" s="9" t="s">
        <v>25</v>
      </c>
      <c r="D5" s="9" t="s">
        <v>32</v>
      </c>
      <c r="E5" s="9" t="s">
        <v>186</v>
      </c>
      <c r="F5" s="9" t="s">
        <v>189</v>
      </c>
      <c r="G5" s="17">
        <v>2822.2438440000005</v>
      </c>
      <c r="H5" s="9">
        <v>59</v>
      </c>
    </row>
    <row r="6" spans="1:8" x14ac:dyDescent="0.2">
      <c r="A6" s="9">
        <v>479839</v>
      </c>
      <c r="B6" s="9" t="s">
        <v>190</v>
      </c>
      <c r="C6" s="9" t="s">
        <v>25</v>
      </c>
      <c r="D6" s="9" t="s">
        <v>28</v>
      </c>
      <c r="E6" s="9" t="s">
        <v>186</v>
      </c>
      <c r="F6" s="9" t="s">
        <v>191</v>
      </c>
      <c r="G6" s="17">
        <v>2820.8359500000001</v>
      </c>
      <c r="H6" s="9">
        <v>66</v>
      </c>
    </row>
    <row r="7" spans="1:8" x14ac:dyDescent="0.2">
      <c r="A7" s="9">
        <v>484353</v>
      </c>
      <c r="B7" s="9" t="s">
        <v>192</v>
      </c>
      <c r="C7" s="9" t="s">
        <v>25</v>
      </c>
      <c r="D7" s="9" t="s">
        <v>30</v>
      </c>
      <c r="E7" s="9" t="s">
        <v>186</v>
      </c>
      <c r="F7" s="9" t="s">
        <v>193</v>
      </c>
      <c r="G7" s="17">
        <v>2732.0224559999997</v>
      </c>
      <c r="H7" s="9">
        <v>54</v>
      </c>
    </row>
    <row r="8" spans="1:8" x14ac:dyDescent="0.2">
      <c r="A8" s="9">
        <v>502886</v>
      </c>
      <c r="B8" s="9" t="s">
        <v>194</v>
      </c>
      <c r="C8" s="9" t="s">
        <v>25</v>
      </c>
      <c r="D8" s="9" t="s">
        <v>32</v>
      </c>
      <c r="E8" s="9" t="s">
        <v>186</v>
      </c>
      <c r="F8" s="9" t="s">
        <v>195</v>
      </c>
      <c r="G8" s="17">
        <v>2640.0640200000012</v>
      </c>
      <c r="H8" s="9">
        <v>48</v>
      </c>
    </row>
    <row r="9" spans="1:8" x14ac:dyDescent="0.2">
      <c r="A9" s="9">
        <v>498195</v>
      </c>
      <c r="B9" s="9" t="s">
        <v>196</v>
      </c>
      <c r="C9" s="9" t="s">
        <v>25</v>
      </c>
      <c r="D9" s="9" t="s">
        <v>32</v>
      </c>
      <c r="E9" s="9" t="s">
        <v>186</v>
      </c>
      <c r="F9" s="9" t="s">
        <v>197</v>
      </c>
      <c r="G9" s="17">
        <v>2633.0812530000003</v>
      </c>
      <c r="H9" s="9">
        <v>52</v>
      </c>
    </row>
    <row r="10" spans="1:8" x14ac:dyDescent="0.2">
      <c r="A10" s="9">
        <v>617493</v>
      </c>
      <c r="B10" s="9" t="s">
        <v>198</v>
      </c>
      <c r="C10" s="9" t="s">
        <v>25</v>
      </c>
      <c r="D10" s="9" t="s">
        <v>32</v>
      </c>
      <c r="E10" s="9" t="s">
        <v>186</v>
      </c>
      <c r="F10" s="9" t="s">
        <v>199</v>
      </c>
      <c r="G10" s="17">
        <v>2588.0770499999999</v>
      </c>
      <c r="H10" s="9">
        <v>40</v>
      </c>
    </row>
    <row r="11" spans="1:8" x14ac:dyDescent="0.2">
      <c r="A11" s="9">
        <v>502106</v>
      </c>
      <c r="B11" s="9" t="s">
        <v>200</v>
      </c>
      <c r="C11" s="9" t="s">
        <v>25</v>
      </c>
      <c r="D11" s="9" t="s">
        <v>28</v>
      </c>
      <c r="E11" s="9" t="s">
        <v>186</v>
      </c>
      <c r="F11" s="9" t="s">
        <v>201</v>
      </c>
      <c r="G11" s="17">
        <v>2564.8122239999998</v>
      </c>
      <c r="H11" s="9">
        <v>57</v>
      </c>
    </row>
    <row r="12" spans="1:8" x14ac:dyDescent="0.2">
      <c r="A12" s="9">
        <v>377315</v>
      </c>
      <c r="B12" s="9" t="s">
        <v>202</v>
      </c>
      <c r="C12" s="9" t="s">
        <v>25</v>
      </c>
      <c r="D12" s="9" t="s">
        <v>32</v>
      </c>
      <c r="E12" s="9" t="s">
        <v>186</v>
      </c>
      <c r="F12" s="9" t="s">
        <v>203</v>
      </c>
      <c r="G12" s="17">
        <v>2543.010612</v>
      </c>
      <c r="H12" s="9">
        <v>46</v>
      </c>
    </row>
  </sheetData>
  <mergeCells count="1">
    <mergeCell ref="A1:H2"/>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C4276-03C3-4656-B842-09B7D3AA191C}">
  <dimension ref="A3:D77"/>
  <sheetViews>
    <sheetView topLeftCell="A34" workbookViewId="0">
      <selection activeCell="T83" sqref="T83"/>
    </sheetView>
  </sheetViews>
  <sheetFormatPr defaultRowHeight="14.25" x14ac:dyDescent="0.2"/>
  <cols>
    <col min="1" max="1" width="18.875" bestFit="1" customWidth="1"/>
    <col min="2" max="2" width="15.875" bestFit="1" customWidth="1"/>
    <col min="3" max="3" width="13.25" bestFit="1" customWidth="1"/>
    <col min="4" max="4" width="34.25" bestFit="1" customWidth="1"/>
    <col min="5" max="5" width="13.25" bestFit="1" customWidth="1"/>
  </cols>
  <sheetData>
    <row r="3" spans="1:3" x14ac:dyDescent="0.2">
      <c r="A3" s="5" t="s">
        <v>152</v>
      </c>
      <c r="B3" t="s">
        <v>165</v>
      </c>
      <c r="C3" t="s">
        <v>166</v>
      </c>
    </row>
    <row r="4" spans="1:3" x14ac:dyDescent="0.2">
      <c r="A4" s="6" t="s">
        <v>13</v>
      </c>
      <c r="B4" s="8">
        <v>125543180.88347246</v>
      </c>
      <c r="C4" s="8">
        <v>73946398.953472316</v>
      </c>
    </row>
    <row r="5" spans="1:3" x14ac:dyDescent="0.2">
      <c r="A5" s="6" t="s">
        <v>14</v>
      </c>
      <c r="B5" s="8">
        <v>111804056.62279494</v>
      </c>
      <c r="C5" s="8">
        <v>60805311.982794814</v>
      </c>
    </row>
    <row r="6" spans="1:3" x14ac:dyDescent="0.2">
      <c r="A6" s="6" t="s">
        <v>19</v>
      </c>
      <c r="B6" s="8">
        <v>46115567.023412883</v>
      </c>
      <c r="C6" s="8">
        <v>26338272.023413062</v>
      </c>
    </row>
    <row r="7" spans="1:3" x14ac:dyDescent="0.2">
      <c r="A7" s="6" t="s">
        <v>153</v>
      </c>
      <c r="B7" s="8">
        <v>283462804.52968025</v>
      </c>
      <c r="C7" s="8">
        <v>161089982.9596802</v>
      </c>
    </row>
    <row r="22" spans="1:4" x14ac:dyDescent="0.2">
      <c r="A22" s="5" t="s">
        <v>155</v>
      </c>
      <c r="B22" s="5" t="s">
        <v>205</v>
      </c>
    </row>
    <row r="23" spans="1:4" x14ac:dyDescent="0.2">
      <c r="A23" s="5" t="s">
        <v>152</v>
      </c>
      <c r="B23">
        <v>2023</v>
      </c>
      <c r="C23">
        <v>2024</v>
      </c>
      <c r="D23" t="s">
        <v>153</v>
      </c>
    </row>
    <row r="24" spans="1:4" x14ac:dyDescent="0.2">
      <c r="A24" s="6" t="s">
        <v>25</v>
      </c>
      <c r="B24" s="18"/>
      <c r="C24" s="18">
        <v>0.36323175499869892</v>
      </c>
      <c r="D24" s="18"/>
    </row>
    <row r="25" spans="1:4" x14ac:dyDescent="0.2">
      <c r="A25" s="6" t="s">
        <v>58</v>
      </c>
      <c r="B25" s="18"/>
      <c r="C25" s="18">
        <v>7.6372037675846521E-2</v>
      </c>
      <c r="D25" s="18"/>
    </row>
    <row r="26" spans="1:4" x14ac:dyDescent="0.2">
      <c r="A26" s="6" t="s">
        <v>36</v>
      </c>
      <c r="B26" s="18"/>
      <c r="C26" s="18">
        <v>0.13650957607757125</v>
      </c>
      <c r="D26" s="18"/>
    </row>
    <row r="27" spans="1:4" x14ac:dyDescent="0.2">
      <c r="A27" s="6" t="s">
        <v>80</v>
      </c>
      <c r="B27" s="18"/>
      <c r="C27" s="18">
        <v>-0.10463052545090125</v>
      </c>
      <c r="D27" s="18"/>
    </row>
    <row r="28" spans="1:4" x14ac:dyDescent="0.2">
      <c r="A28" s="6" t="s">
        <v>69</v>
      </c>
      <c r="B28" s="18"/>
      <c r="C28" s="18">
        <v>0.23179258589668986</v>
      </c>
      <c r="D28" s="18"/>
    </row>
    <row r="29" spans="1:4" x14ac:dyDescent="0.2">
      <c r="A29" s="6" t="s">
        <v>47</v>
      </c>
      <c r="B29" s="18"/>
      <c r="C29" s="18">
        <v>-3.5937013687274963E-2</v>
      </c>
      <c r="D29" s="18"/>
    </row>
    <row r="30" spans="1:4" x14ac:dyDescent="0.2">
      <c r="A30" s="6" t="s">
        <v>11</v>
      </c>
      <c r="B30" s="18"/>
      <c r="C30" s="18">
        <v>9.9204034406727912E-2</v>
      </c>
      <c r="D30" s="18"/>
    </row>
    <row r="31" spans="1:4" x14ac:dyDescent="0.2">
      <c r="A31" s="6" t="s">
        <v>153</v>
      </c>
      <c r="B31" s="18"/>
      <c r="C31" s="18">
        <v>0.14894661796591785</v>
      </c>
      <c r="D31" s="18"/>
    </row>
    <row r="39" spans="1:2" x14ac:dyDescent="0.2">
      <c r="A39" s="5" t="s">
        <v>152</v>
      </c>
      <c r="B39" t="s">
        <v>206</v>
      </c>
    </row>
    <row r="40" spans="1:2" x14ac:dyDescent="0.2">
      <c r="A40" s="6" t="s">
        <v>80</v>
      </c>
      <c r="B40" s="18">
        <v>5.4283095063431354E-2</v>
      </c>
    </row>
    <row r="41" spans="1:2" x14ac:dyDescent="0.2">
      <c r="A41" s="6" t="s">
        <v>36</v>
      </c>
      <c r="B41" s="18">
        <v>5.4478018262200105E-2</v>
      </c>
    </row>
    <row r="42" spans="1:2" x14ac:dyDescent="0.2">
      <c r="A42" s="6" t="s">
        <v>58</v>
      </c>
      <c r="B42" s="18">
        <v>5.5093985432233018E-2</v>
      </c>
    </row>
    <row r="43" spans="1:2" x14ac:dyDescent="0.2">
      <c r="A43" s="6" t="s">
        <v>11</v>
      </c>
      <c r="B43" s="18">
        <v>5.5434251343219575E-2</v>
      </c>
    </row>
    <row r="44" spans="1:2" x14ac:dyDescent="0.2">
      <c r="A44" s="6" t="s">
        <v>25</v>
      </c>
      <c r="B44" s="18">
        <v>5.5714537945550653E-2</v>
      </c>
    </row>
    <row r="45" spans="1:2" x14ac:dyDescent="0.2">
      <c r="A45" s="6" t="s">
        <v>47</v>
      </c>
      <c r="B45" s="18">
        <v>5.623737479615494E-2</v>
      </c>
    </row>
    <row r="46" spans="1:2" x14ac:dyDescent="0.2">
      <c r="A46" s="6" t="s">
        <v>69</v>
      </c>
      <c r="B46" s="18">
        <v>5.6716974334828391E-2</v>
      </c>
    </row>
    <row r="47" spans="1:2" x14ac:dyDescent="0.2">
      <c r="A47" s="6" t="s">
        <v>153</v>
      </c>
      <c r="B47" s="18">
        <v>5.5422605311088308E-2</v>
      </c>
    </row>
    <row r="59" spans="1:2" x14ac:dyDescent="0.2">
      <c r="A59" s="5" t="s">
        <v>152</v>
      </c>
      <c r="B59" t="s">
        <v>166</v>
      </c>
    </row>
    <row r="60" spans="1:2" x14ac:dyDescent="0.2">
      <c r="A60" s="6" t="s">
        <v>47</v>
      </c>
      <c r="B60" s="8">
        <v>10678124.994999994</v>
      </c>
    </row>
    <row r="61" spans="1:2" x14ac:dyDescent="0.2">
      <c r="A61" s="6" t="s">
        <v>69</v>
      </c>
      <c r="B61" s="8">
        <v>14174490.74808499</v>
      </c>
    </row>
    <row r="62" spans="1:2" x14ac:dyDescent="0.2">
      <c r="A62" s="6" t="s">
        <v>80</v>
      </c>
      <c r="B62" s="8">
        <v>14369030.153546033</v>
      </c>
    </row>
    <row r="63" spans="1:2" x14ac:dyDescent="0.2">
      <c r="A63" s="6" t="s">
        <v>58</v>
      </c>
      <c r="B63" s="8">
        <v>15933483.230046922</v>
      </c>
    </row>
    <row r="64" spans="1:2" x14ac:dyDescent="0.2">
      <c r="A64" s="6" t="s">
        <v>36</v>
      </c>
      <c r="B64" s="8">
        <v>18330258.651498955</v>
      </c>
    </row>
    <row r="65" spans="1:4" x14ac:dyDescent="0.2">
      <c r="A65" s="6" t="s">
        <v>11</v>
      </c>
      <c r="B65" s="8">
        <v>42741231.410000466</v>
      </c>
    </row>
    <row r="66" spans="1:4" x14ac:dyDescent="0.2">
      <c r="A66" s="6" t="s">
        <v>25</v>
      </c>
      <c r="B66" s="8">
        <v>44863363.77150283</v>
      </c>
    </row>
    <row r="67" spans="1:4" x14ac:dyDescent="0.2">
      <c r="A67" s="6" t="s">
        <v>153</v>
      </c>
      <c r="B67" s="8">
        <v>161089982.9596802</v>
      </c>
    </row>
    <row r="76" spans="1:4" ht="15" x14ac:dyDescent="0.25">
      <c r="A76" s="24" t="s">
        <v>164</v>
      </c>
      <c r="B76" s="20" t="s">
        <v>165</v>
      </c>
      <c r="C76" s="20" t="s">
        <v>166</v>
      </c>
      <c r="D76" s="25" t="s">
        <v>206</v>
      </c>
    </row>
    <row r="77" spans="1:4" ht="15" x14ac:dyDescent="0.25">
      <c r="A77" s="21">
        <v>7060071</v>
      </c>
      <c r="B77" s="22">
        <v>283462804.52968031</v>
      </c>
      <c r="C77" s="22">
        <v>161089982.95968017</v>
      </c>
      <c r="D77" s="23">
        <v>5.5422605311088294E-2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0A2B3-7844-4E2D-BAB2-40C7DFF82D86}">
  <dimension ref="A1:Y3"/>
  <sheetViews>
    <sheetView showGridLines="0" showRowColHeaders="0" topLeftCell="A5" workbookViewId="0">
      <selection activeCell="W53" sqref="W53"/>
    </sheetView>
  </sheetViews>
  <sheetFormatPr defaultRowHeight="14.25" x14ac:dyDescent="0.2"/>
  <cols>
    <col min="1" max="16384" width="9" style="19"/>
  </cols>
  <sheetData>
    <row r="1" spans="1:25" ht="14.25" customHeight="1" x14ac:dyDescent="0.2">
      <c r="A1" s="50" t="s">
        <v>207</v>
      </c>
      <c r="B1" s="50"/>
      <c r="C1" s="50"/>
      <c r="D1" s="50"/>
      <c r="E1" s="50"/>
      <c r="F1" s="50"/>
      <c r="G1" s="50"/>
      <c r="H1" s="50"/>
      <c r="I1" s="50"/>
      <c r="J1" s="50"/>
      <c r="K1" s="50"/>
      <c r="L1" s="50"/>
      <c r="M1" s="50"/>
      <c r="N1" s="50"/>
      <c r="O1" s="50"/>
      <c r="P1" s="50"/>
      <c r="Q1" s="50"/>
      <c r="R1" s="50"/>
      <c r="S1" s="50"/>
      <c r="T1" s="50"/>
      <c r="U1" s="50"/>
      <c r="V1" s="50"/>
      <c r="W1" s="50"/>
      <c r="X1" s="50"/>
      <c r="Y1" s="50"/>
    </row>
    <row r="2" spans="1:25" x14ac:dyDescent="0.2">
      <c r="A2" s="50"/>
      <c r="B2" s="50"/>
      <c r="C2" s="50"/>
      <c r="D2" s="50"/>
      <c r="E2" s="50"/>
      <c r="F2" s="50"/>
      <c r="G2" s="50"/>
      <c r="H2" s="50"/>
      <c r="I2" s="50"/>
      <c r="J2" s="50"/>
      <c r="K2" s="50"/>
      <c r="L2" s="50"/>
      <c r="M2" s="50"/>
      <c r="N2" s="50"/>
      <c r="O2" s="50"/>
      <c r="P2" s="50"/>
      <c r="Q2" s="50"/>
      <c r="R2" s="50"/>
      <c r="S2" s="50"/>
      <c r="T2" s="50"/>
      <c r="U2" s="50"/>
      <c r="V2" s="50"/>
      <c r="W2" s="50"/>
      <c r="X2" s="50"/>
      <c r="Y2" s="50"/>
    </row>
    <row r="3" spans="1:25" x14ac:dyDescent="0.2">
      <c r="A3" s="50"/>
      <c r="B3" s="50"/>
      <c r="C3" s="50"/>
      <c r="D3" s="50"/>
      <c r="E3" s="50"/>
      <c r="F3" s="50"/>
      <c r="G3" s="50"/>
      <c r="H3" s="50"/>
      <c r="I3" s="50"/>
      <c r="J3" s="50"/>
      <c r="K3" s="50"/>
      <c r="L3" s="50"/>
      <c r="M3" s="50"/>
      <c r="N3" s="50"/>
      <c r="O3" s="50"/>
      <c r="P3" s="50"/>
      <c r="Q3" s="50"/>
      <c r="R3" s="50"/>
      <c r="S3" s="50"/>
      <c r="T3" s="50"/>
      <c r="U3" s="50"/>
      <c r="V3" s="50"/>
      <c r="W3" s="50"/>
      <c r="X3" s="50"/>
      <c r="Y3" s="50"/>
    </row>
  </sheetData>
  <mergeCells count="1">
    <mergeCell ref="A1:Y3"/>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6CC43-A092-44B1-9B53-25E816CEEF56}">
  <dimension ref="A3:N87"/>
  <sheetViews>
    <sheetView topLeftCell="A3" workbookViewId="0">
      <selection activeCell="C37" sqref="C37"/>
    </sheetView>
  </sheetViews>
  <sheetFormatPr defaultRowHeight="14.25" x14ac:dyDescent="0.2"/>
  <cols>
    <col min="1" max="1" width="13.125" bestFit="1" customWidth="1"/>
    <col min="2" max="2" width="22.25" bestFit="1" customWidth="1"/>
    <col min="3" max="3" width="23.25" bestFit="1" customWidth="1"/>
    <col min="11" max="11" width="17.375" style="9" bestFit="1" customWidth="1"/>
  </cols>
  <sheetData>
    <row r="3" spans="1:14" ht="15" thickBot="1" x14ac:dyDescent="0.25">
      <c r="A3" s="5" t="s">
        <v>152</v>
      </c>
      <c r="B3" t="s">
        <v>154</v>
      </c>
      <c r="C3" t="s">
        <v>208</v>
      </c>
    </row>
    <row r="4" spans="1:14" x14ac:dyDescent="0.2">
      <c r="A4" s="6">
        <v>2023</v>
      </c>
      <c r="B4" s="8">
        <v>124310138.31230295</v>
      </c>
      <c r="C4" s="18"/>
      <c r="E4" s="26"/>
      <c r="F4" s="27"/>
      <c r="G4" s="27"/>
      <c r="H4" s="27"/>
      <c r="I4" s="27"/>
      <c r="J4" s="27"/>
      <c r="K4" s="34"/>
      <c r="L4" s="27"/>
      <c r="M4" s="27"/>
      <c r="N4" s="28"/>
    </row>
    <row r="5" spans="1:14" x14ac:dyDescent="0.2">
      <c r="A5" s="6">
        <v>2024</v>
      </c>
      <c r="B5" s="8">
        <v>140273430.22041291</v>
      </c>
      <c r="C5" s="18">
        <v>0.12841504421791863</v>
      </c>
      <c r="E5" s="29"/>
      <c r="N5" s="30"/>
    </row>
    <row r="6" spans="1:14" x14ac:dyDescent="0.2">
      <c r="A6" s="6">
        <v>2025</v>
      </c>
      <c r="B6" s="8">
        <v>18879235.996964</v>
      </c>
      <c r="C6" s="18">
        <v>-0.86541117610584628</v>
      </c>
      <c r="E6" s="29"/>
      <c r="G6" s="38" t="s">
        <v>209</v>
      </c>
      <c r="H6" s="38"/>
      <c r="I6" s="38"/>
      <c r="J6" s="38"/>
      <c r="K6" s="38"/>
      <c r="L6" s="38"/>
      <c r="N6" s="30"/>
    </row>
    <row r="7" spans="1:14" x14ac:dyDescent="0.2">
      <c r="A7" s="7" t="s">
        <v>136</v>
      </c>
      <c r="B7" s="8">
        <v>6196310.0348970005</v>
      </c>
      <c r="C7" s="18"/>
      <c r="E7" s="29"/>
      <c r="N7" s="30"/>
    </row>
    <row r="8" spans="1:14" x14ac:dyDescent="0.2">
      <c r="A8" s="15">
        <v>1</v>
      </c>
      <c r="B8" s="8">
        <v>439310.92124300002</v>
      </c>
      <c r="C8" s="18"/>
      <c r="E8" s="29"/>
      <c r="N8" s="30"/>
    </row>
    <row r="9" spans="1:14" x14ac:dyDescent="0.2">
      <c r="A9" s="15">
        <v>2</v>
      </c>
      <c r="B9" s="8">
        <v>182527.25270300003</v>
      </c>
      <c r="C9" s="18"/>
      <c r="E9" s="29"/>
      <c r="G9" s="39" t="s">
        <v>210</v>
      </c>
      <c r="H9" s="39"/>
      <c r="I9" s="39"/>
      <c r="K9" s="35">
        <f>18/31</f>
        <v>0.58064516129032262</v>
      </c>
      <c r="N9" s="30"/>
    </row>
    <row r="10" spans="1:14" x14ac:dyDescent="0.2">
      <c r="A10" s="15">
        <v>3</v>
      </c>
      <c r="B10" s="8">
        <v>170630.3835599999</v>
      </c>
      <c r="C10" s="18"/>
      <c r="E10" s="29"/>
      <c r="N10" s="30"/>
    </row>
    <row r="11" spans="1:14" x14ac:dyDescent="0.2">
      <c r="A11" s="15">
        <v>4</v>
      </c>
      <c r="B11" s="8">
        <v>368465.57672500011</v>
      </c>
      <c r="C11" s="18"/>
      <c r="E11" s="29"/>
      <c r="N11" s="30"/>
    </row>
    <row r="12" spans="1:14" ht="15" x14ac:dyDescent="0.25">
      <c r="A12" s="15">
        <v>5</v>
      </c>
      <c r="B12" s="8">
        <v>363154.89568200009</v>
      </c>
      <c r="C12" s="18"/>
      <c r="E12" s="29"/>
      <c r="G12" s="40" t="s">
        <v>211</v>
      </c>
      <c r="H12" s="40"/>
      <c r="I12" s="40"/>
      <c r="K12" s="36">
        <f>GETPIVOTDATA("Sum of Total Sales USD",$A$3,"Year",2025,"Month","March")/K9</f>
        <v>12704744.281849829</v>
      </c>
      <c r="N12" s="30"/>
    </row>
    <row r="13" spans="1:14" x14ac:dyDescent="0.2">
      <c r="A13" s="15">
        <v>6</v>
      </c>
      <c r="B13" s="8">
        <v>180530.77115199988</v>
      </c>
      <c r="C13" s="18"/>
      <c r="E13" s="29"/>
      <c r="N13" s="30"/>
    </row>
    <row r="14" spans="1:14" x14ac:dyDescent="0.2">
      <c r="A14" s="15">
        <v>7</v>
      </c>
      <c r="B14" s="8">
        <v>169698.01265099991</v>
      </c>
      <c r="C14" s="18"/>
      <c r="E14" s="29"/>
      <c r="N14" s="30"/>
    </row>
    <row r="15" spans="1:14" x14ac:dyDescent="0.2">
      <c r="A15" s="15">
        <v>8</v>
      </c>
      <c r="B15" s="8">
        <v>189606.28572899991</v>
      </c>
      <c r="C15" s="18"/>
      <c r="E15" s="29"/>
      <c r="N15" s="30"/>
    </row>
    <row r="16" spans="1:14" ht="15" thickBot="1" x14ac:dyDescent="0.25">
      <c r="A16" s="15">
        <v>9</v>
      </c>
      <c r="B16" s="8">
        <v>180539.40784399988</v>
      </c>
      <c r="C16" s="18"/>
      <c r="E16" s="31"/>
      <c r="F16" s="32"/>
      <c r="G16" s="32"/>
      <c r="H16" s="32"/>
      <c r="I16" s="32"/>
      <c r="J16" s="32"/>
      <c r="K16" s="37"/>
      <c r="L16" s="32"/>
      <c r="M16" s="32"/>
      <c r="N16" s="33"/>
    </row>
    <row r="17" spans="1:14" ht="15" thickBot="1" x14ac:dyDescent="0.25">
      <c r="A17" s="15">
        <v>10</v>
      </c>
      <c r="B17" s="8">
        <v>174913.61680099994</v>
      </c>
      <c r="C17" s="18"/>
    </row>
    <row r="18" spans="1:14" x14ac:dyDescent="0.2">
      <c r="A18" s="15">
        <v>11</v>
      </c>
      <c r="B18" s="8">
        <v>272769.34758900013</v>
      </c>
      <c r="C18" s="18"/>
      <c r="E18" s="26"/>
      <c r="F18" s="27"/>
      <c r="G18" s="27"/>
      <c r="H18" s="27"/>
      <c r="I18" s="27"/>
      <c r="J18" s="27"/>
      <c r="K18" s="34"/>
      <c r="L18" s="27"/>
      <c r="M18" s="27"/>
      <c r="N18" s="28"/>
    </row>
    <row r="19" spans="1:14" x14ac:dyDescent="0.2">
      <c r="A19" s="15">
        <v>12</v>
      </c>
      <c r="B19" s="8">
        <v>267554.06625200005</v>
      </c>
      <c r="C19" s="18"/>
      <c r="E19" s="29"/>
      <c r="N19" s="30"/>
    </row>
    <row r="20" spans="1:14" x14ac:dyDescent="0.2">
      <c r="A20" s="15">
        <v>13</v>
      </c>
      <c r="B20" s="8">
        <v>133993.30912999995</v>
      </c>
      <c r="C20" s="18"/>
      <c r="E20" s="29"/>
      <c r="F20" s="38" t="s">
        <v>212</v>
      </c>
      <c r="G20" s="38"/>
      <c r="H20" s="38"/>
      <c r="I20" s="38"/>
      <c r="J20" s="38"/>
      <c r="K20" s="38"/>
      <c r="L20" s="38"/>
      <c r="N20" s="30"/>
    </row>
    <row r="21" spans="1:14" x14ac:dyDescent="0.2">
      <c r="A21" s="15">
        <v>14</v>
      </c>
      <c r="B21" s="8">
        <v>138401.56402099994</v>
      </c>
      <c r="C21" s="18"/>
      <c r="E21" s="29"/>
      <c r="N21" s="30"/>
    </row>
    <row r="22" spans="1:14" x14ac:dyDescent="0.2">
      <c r="A22" s="15">
        <v>15</v>
      </c>
      <c r="B22" s="8">
        <v>133788.19940399998</v>
      </c>
      <c r="C22" s="18"/>
      <c r="E22" s="29"/>
      <c r="N22" s="30"/>
    </row>
    <row r="23" spans="1:14" x14ac:dyDescent="0.2">
      <c r="A23" s="15">
        <v>16</v>
      </c>
      <c r="B23" s="8">
        <v>144941.424527</v>
      </c>
      <c r="C23" s="18"/>
      <c r="E23" s="29"/>
      <c r="G23" s="39" t="s">
        <v>210</v>
      </c>
      <c r="H23" s="39"/>
      <c r="I23" s="39"/>
      <c r="K23" s="35">
        <f>3/12</f>
        <v>0.25</v>
      </c>
      <c r="N23" s="30"/>
    </row>
    <row r="24" spans="1:14" x14ac:dyDescent="0.2">
      <c r="A24" s="15">
        <v>17</v>
      </c>
      <c r="B24" s="8">
        <v>137783.27577000001</v>
      </c>
      <c r="C24" s="18"/>
      <c r="E24" s="29"/>
      <c r="N24" s="30"/>
    </row>
    <row r="25" spans="1:14" x14ac:dyDescent="0.2">
      <c r="A25" s="15">
        <v>18</v>
      </c>
      <c r="B25" s="8">
        <v>280646.98429500009</v>
      </c>
      <c r="C25" s="18"/>
      <c r="E25" s="29"/>
      <c r="N25" s="30"/>
    </row>
    <row r="26" spans="1:14" ht="15" x14ac:dyDescent="0.25">
      <c r="A26" s="15">
        <v>19</v>
      </c>
      <c r="B26" s="8">
        <v>269288.54604400008</v>
      </c>
      <c r="C26" s="18"/>
      <c r="E26" s="29"/>
      <c r="G26" s="45" t="s">
        <v>211</v>
      </c>
      <c r="H26" s="40"/>
      <c r="I26" s="40"/>
      <c r="K26" s="36">
        <f>GETPIVOTDATA("Sum of Total Sales USD",$A$3,"Year",2025)/K23</f>
        <v>75516943.987856001</v>
      </c>
      <c r="N26" s="30"/>
    </row>
    <row r="27" spans="1:14" x14ac:dyDescent="0.2">
      <c r="A27" s="15">
        <v>20</v>
      </c>
      <c r="B27" s="8">
        <v>199154.46810899995</v>
      </c>
      <c r="C27" s="18"/>
      <c r="E27" s="29"/>
      <c r="N27" s="30"/>
    </row>
    <row r="28" spans="1:14" x14ac:dyDescent="0.2">
      <c r="A28" s="15">
        <v>21</v>
      </c>
      <c r="B28" s="8">
        <v>130663.558857</v>
      </c>
      <c r="C28" s="18"/>
      <c r="E28" s="29"/>
      <c r="N28" s="30"/>
    </row>
    <row r="29" spans="1:14" x14ac:dyDescent="0.2">
      <c r="A29" s="15">
        <v>22</v>
      </c>
      <c r="B29" s="8">
        <v>132600.29419500002</v>
      </c>
      <c r="C29" s="18"/>
      <c r="E29" s="29"/>
      <c r="F29" s="43" t="s">
        <v>213</v>
      </c>
      <c r="G29" s="43"/>
      <c r="H29" s="43"/>
      <c r="I29" s="43"/>
      <c r="K29" s="12">
        <f>K26*8%+K26</f>
        <v>81558299.506884485</v>
      </c>
      <c r="N29" s="30"/>
    </row>
    <row r="30" spans="1:14" x14ac:dyDescent="0.2">
      <c r="A30" s="15">
        <v>23</v>
      </c>
      <c r="B30" s="8">
        <v>134639.09831600002</v>
      </c>
      <c r="C30" s="18"/>
      <c r="E30" s="29"/>
      <c r="N30" s="30"/>
    </row>
    <row r="31" spans="1:14" x14ac:dyDescent="0.2">
      <c r="A31" s="15">
        <v>24</v>
      </c>
      <c r="B31" s="8">
        <v>131786.22341100001</v>
      </c>
      <c r="C31" s="18"/>
      <c r="E31" s="29"/>
      <c r="N31" s="30"/>
    </row>
    <row r="32" spans="1:14" ht="15" x14ac:dyDescent="0.25">
      <c r="A32" s="15">
        <v>25</v>
      </c>
      <c r="B32" s="8">
        <v>272216.13044900005</v>
      </c>
      <c r="C32" s="18"/>
      <c r="E32" s="29"/>
      <c r="F32" s="41" t="s">
        <v>214</v>
      </c>
      <c r="G32" s="41"/>
      <c r="H32" s="41"/>
      <c r="I32" s="42"/>
      <c r="K32" s="12">
        <f>K26*12.84%+K26</f>
        <v>85213319.595896706</v>
      </c>
      <c r="N32" s="30"/>
    </row>
    <row r="33" spans="1:14" x14ac:dyDescent="0.2">
      <c r="A33" s="15">
        <v>26</v>
      </c>
      <c r="B33" s="8">
        <v>268517.71387599997</v>
      </c>
      <c r="C33" s="18"/>
      <c r="E33" s="29"/>
      <c r="N33" s="30"/>
    </row>
    <row r="34" spans="1:14" x14ac:dyDescent="0.2">
      <c r="A34" s="15">
        <v>27</v>
      </c>
      <c r="B34" s="8">
        <v>134303.769956</v>
      </c>
      <c r="C34" s="18"/>
      <c r="E34" s="29"/>
      <c r="N34" s="30"/>
    </row>
    <row r="35" spans="1:14" x14ac:dyDescent="0.2">
      <c r="A35" s="15">
        <v>28</v>
      </c>
      <c r="B35" s="8">
        <v>134908.77521999998</v>
      </c>
      <c r="C35" s="18"/>
      <c r="E35" s="29"/>
      <c r="F35" s="44" t="s">
        <v>215</v>
      </c>
      <c r="G35" s="44"/>
      <c r="H35" s="44"/>
      <c r="I35" s="44"/>
      <c r="K35" s="36">
        <f>K26*18%+K26</f>
        <v>89109993.905670077</v>
      </c>
      <c r="N35" s="30"/>
    </row>
    <row r="36" spans="1:14" x14ac:dyDescent="0.2">
      <c r="A36" s="15">
        <v>29</v>
      </c>
      <c r="B36" s="8">
        <v>175498.26184400002</v>
      </c>
      <c r="C36" s="18"/>
      <c r="E36" s="29"/>
      <c r="N36" s="30"/>
    </row>
    <row r="37" spans="1:14" ht="15" thickBot="1" x14ac:dyDescent="0.25">
      <c r="A37" s="15">
        <v>30</v>
      </c>
      <c r="B37" s="8">
        <v>137088.80324299997</v>
      </c>
      <c r="C37" s="18"/>
      <c r="E37" s="31"/>
      <c r="F37" s="32"/>
      <c r="G37" s="32"/>
      <c r="H37" s="32"/>
      <c r="I37" s="32"/>
      <c r="J37" s="32"/>
      <c r="K37" s="37"/>
      <c r="L37" s="32"/>
      <c r="M37" s="32"/>
      <c r="N37" s="33"/>
    </row>
    <row r="38" spans="1:14" x14ac:dyDescent="0.2">
      <c r="A38" s="15">
        <v>31</v>
      </c>
      <c r="B38" s="8">
        <v>146389.09629899997</v>
      </c>
      <c r="C38" s="18"/>
    </row>
    <row r="39" spans="1:14" x14ac:dyDescent="0.2">
      <c r="A39" s="7" t="s">
        <v>137</v>
      </c>
      <c r="B39" s="8">
        <v>5305977.6693800017</v>
      </c>
      <c r="C39" s="18"/>
    </row>
    <row r="40" spans="1:14" x14ac:dyDescent="0.2">
      <c r="A40" s="15">
        <v>1</v>
      </c>
      <c r="B40" s="8">
        <v>308257.88266000012</v>
      </c>
      <c r="C40" s="18"/>
    </row>
    <row r="41" spans="1:14" x14ac:dyDescent="0.2">
      <c r="A41" s="15">
        <v>2</v>
      </c>
      <c r="B41" s="8">
        <v>291678.34212100005</v>
      </c>
      <c r="C41" s="18"/>
    </row>
    <row r="42" spans="1:14" x14ac:dyDescent="0.2">
      <c r="A42" s="15">
        <v>3</v>
      </c>
      <c r="B42" s="8">
        <v>142008.79718299999</v>
      </c>
      <c r="C42" s="18"/>
    </row>
    <row r="43" spans="1:14" x14ac:dyDescent="0.2">
      <c r="A43" s="15">
        <v>4</v>
      </c>
      <c r="B43" s="8">
        <v>142796.483611</v>
      </c>
      <c r="C43" s="18"/>
    </row>
    <row r="44" spans="1:14" x14ac:dyDescent="0.2">
      <c r="A44" s="15">
        <v>5</v>
      </c>
      <c r="B44" s="8">
        <v>155030.83870300004</v>
      </c>
      <c r="C44" s="18"/>
    </row>
    <row r="45" spans="1:14" x14ac:dyDescent="0.2">
      <c r="A45" s="15">
        <v>6</v>
      </c>
      <c r="B45" s="8">
        <v>149364.21895899996</v>
      </c>
      <c r="C45" s="18"/>
    </row>
    <row r="46" spans="1:14" x14ac:dyDescent="0.2">
      <c r="A46" s="15">
        <v>7</v>
      </c>
      <c r="B46" s="8">
        <v>143398.69868999993</v>
      </c>
      <c r="C46" s="18"/>
    </row>
    <row r="47" spans="1:14" x14ac:dyDescent="0.2">
      <c r="A47" s="15">
        <v>8</v>
      </c>
      <c r="B47" s="8">
        <v>297732.079623</v>
      </c>
      <c r="C47" s="18"/>
    </row>
    <row r="48" spans="1:14" x14ac:dyDescent="0.2">
      <c r="A48" s="15">
        <v>9</v>
      </c>
      <c r="B48" s="8">
        <v>289442.37778500008</v>
      </c>
      <c r="C48" s="18"/>
    </row>
    <row r="49" spans="1:3" x14ac:dyDescent="0.2">
      <c r="A49" s="15">
        <v>10</v>
      </c>
      <c r="B49" s="8">
        <v>146701.86806000001</v>
      </c>
      <c r="C49" s="18"/>
    </row>
    <row r="50" spans="1:3" x14ac:dyDescent="0.2">
      <c r="A50" s="15">
        <v>11</v>
      </c>
      <c r="B50" s="8">
        <v>146335.81993000006</v>
      </c>
      <c r="C50" s="18"/>
    </row>
    <row r="51" spans="1:3" x14ac:dyDescent="0.2">
      <c r="A51" s="15">
        <v>12</v>
      </c>
      <c r="B51" s="8">
        <v>150885.73556500001</v>
      </c>
      <c r="C51" s="18"/>
    </row>
    <row r="52" spans="1:3" x14ac:dyDescent="0.2">
      <c r="A52" s="15">
        <v>13</v>
      </c>
      <c r="B52" s="8">
        <v>137967.55220999997</v>
      </c>
      <c r="C52" s="18"/>
    </row>
    <row r="53" spans="1:3" x14ac:dyDescent="0.2">
      <c r="A53" s="15">
        <v>14</v>
      </c>
      <c r="B53" s="8">
        <v>138191.07456000001</v>
      </c>
      <c r="C53" s="18"/>
    </row>
    <row r="54" spans="1:3" x14ac:dyDescent="0.2">
      <c r="A54" s="15">
        <v>15</v>
      </c>
      <c r="B54" s="8">
        <v>283368.29148000007</v>
      </c>
      <c r="C54" s="18"/>
    </row>
    <row r="55" spans="1:3" x14ac:dyDescent="0.2">
      <c r="A55" s="15">
        <v>16</v>
      </c>
      <c r="B55" s="8">
        <v>282014.94547000004</v>
      </c>
      <c r="C55" s="18"/>
    </row>
    <row r="56" spans="1:3" x14ac:dyDescent="0.2">
      <c r="A56" s="15">
        <v>17</v>
      </c>
      <c r="B56" s="8">
        <v>224680.73296500003</v>
      </c>
      <c r="C56" s="18"/>
    </row>
    <row r="57" spans="1:3" x14ac:dyDescent="0.2">
      <c r="A57" s="15">
        <v>18</v>
      </c>
      <c r="B57" s="8">
        <v>145516.48525</v>
      </c>
      <c r="C57" s="18"/>
    </row>
    <row r="58" spans="1:3" x14ac:dyDescent="0.2">
      <c r="A58" s="15">
        <v>19</v>
      </c>
      <c r="B58" s="8">
        <v>138267.34641499986</v>
      </c>
      <c r="C58" s="18"/>
    </row>
    <row r="59" spans="1:3" x14ac:dyDescent="0.2">
      <c r="A59" s="15">
        <v>20</v>
      </c>
      <c r="B59" s="8">
        <v>136327.86430999995</v>
      </c>
      <c r="C59" s="18"/>
    </row>
    <row r="60" spans="1:3" x14ac:dyDescent="0.2">
      <c r="A60" s="15">
        <v>21</v>
      </c>
      <c r="B60" s="8">
        <v>150943.34061499996</v>
      </c>
      <c r="C60" s="18"/>
    </row>
    <row r="61" spans="1:3" x14ac:dyDescent="0.2">
      <c r="A61" s="15">
        <v>22</v>
      </c>
      <c r="B61" s="8">
        <v>283437.29136999993</v>
      </c>
      <c r="C61" s="18"/>
    </row>
    <row r="62" spans="1:3" x14ac:dyDescent="0.2">
      <c r="A62" s="15">
        <v>23</v>
      </c>
      <c r="B62" s="8">
        <v>293284.4338750001</v>
      </c>
      <c r="C62" s="18"/>
    </row>
    <row r="63" spans="1:3" x14ac:dyDescent="0.2">
      <c r="A63" s="15">
        <v>24</v>
      </c>
      <c r="B63" s="8">
        <v>149465.98858000003</v>
      </c>
      <c r="C63" s="18"/>
    </row>
    <row r="64" spans="1:3" x14ac:dyDescent="0.2">
      <c r="A64" s="15">
        <v>25</v>
      </c>
      <c r="B64" s="8">
        <v>145499.69991</v>
      </c>
      <c r="C64" s="18"/>
    </row>
    <row r="65" spans="1:3" x14ac:dyDescent="0.2">
      <c r="A65" s="15">
        <v>26</v>
      </c>
      <c r="B65" s="8">
        <v>144271.84915499997</v>
      </c>
      <c r="C65" s="18"/>
    </row>
    <row r="66" spans="1:3" x14ac:dyDescent="0.2">
      <c r="A66" s="15">
        <v>27</v>
      </c>
      <c r="B66" s="8">
        <v>147374.40855999998</v>
      </c>
      <c r="C66" s="18"/>
    </row>
    <row r="67" spans="1:3" x14ac:dyDescent="0.2">
      <c r="A67" s="15">
        <v>28</v>
      </c>
      <c r="B67" s="8">
        <v>141733.22176499997</v>
      </c>
      <c r="C67" s="18"/>
    </row>
    <row r="68" spans="1:3" x14ac:dyDescent="0.2">
      <c r="A68" s="7" t="s">
        <v>138</v>
      </c>
      <c r="B68" s="8">
        <v>7376948.2926869979</v>
      </c>
      <c r="C68" s="18"/>
    </row>
    <row r="69" spans="1:3" x14ac:dyDescent="0.2">
      <c r="A69" s="15">
        <v>1</v>
      </c>
      <c r="B69" s="8">
        <v>569204.77244499966</v>
      </c>
      <c r="C69" s="18"/>
    </row>
    <row r="70" spans="1:3" x14ac:dyDescent="0.2">
      <c r="A70" s="15">
        <v>2</v>
      </c>
      <c r="B70" s="8">
        <v>570206.28109499998</v>
      </c>
      <c r="C70" s="18"/>
    </row>
    <row r="71" spans="1:3" x14ac:dyDescent="0.2">
      <c r="A71" s="15">
        <v>3</v>
      </c>
      <c r="B71" s="8">
        <v>293330.25910999987</v>
      </c>
      <c r="C71" s="18"/>
    </row>
    <row r="72" spans="1:3" x14ac:dyDescent="0.2">
      <c r="A72" s="15">
        <v>4</v>
      </c>
      <c r="B72" s="8">
        <v>285818.20677999995</v>
      </c>
      <c r="C72" s="18"/>
    </row>
    <row r="73" spans="1:3" x14ac:dyDescent="0.2">
      <c r="A73" s="15">
        <v>5</v>
      </c>
      <c r="B73" s="8">
        <v>287759.27788999985</v>
      </c>
      <c r="C73" s="18"/>
    </row>
    <row r="74" spans="1:3" x14ac:dyDescent="0.2">
      <c r="A74" s="15">
        <v>6</v>
      </c>
      <c r="B74" s="8">
        <v>290344.99801999971</v>
      </c>
      <c r="C74" s="18"/>
    </row>
    <row r="75" spans="1:3" x14ac:dyDescent="0.2">
      <c r="A75" s="15">
        <v>7</v>
      </c>
      <c r="B75" s="8">
        <v>290851.45121499995</v>
      </c>
      <c r="C75" s="18"/>
    </row>
    <row r="76" spans="1:3" x14ac:dyDescent="0.2">
      <c r="A76" s="15">
        <v>8</v>
      </c>
      <c r="B76" s="8">
        <v>570645.58664499992</v>
      </c>
      <c r="C76" s="18"/>
    </row>
    <row r="77" spans="1:3" x14ac:dyDescent="0.2">
      <c r="A77" s="15">
        <v>9</v>
      </c>
      <c r="B77" s="8">
        <v>574913.22853999957</v>
      </c>
      <c r="C77" s="18"/>
    </row>
    <row r="78" spans="1:3" x14ac:dyDescent="0.2">
      <c r="A78" s="15">
        <v>10</v>
      </c>
      <c r="B78" s="8">
        <v>283041.76946499984</v>
      </c>
      <c r="C78" s="18"/>
    </row>
    <row r="79" spans="1:3" x14ac:dyDescent="0.2">
      <c r="A79" s="15">
        <v>11</v>
      </c>
      <c r="B79" s="8">
        <v>285396.1824799999</v>
      </c>
      <c r="C79" s="18"/>
    </row>
    <row r="80" spans="1:3" x14ac:dyDescent="0.2">
      <c r="A80" s="15">
        <v>12</v>
      </c>
      <c r="B80" s="8">
        <v>298777.08357999998</v>
      </c>
      <c r="C80" s="18"/>
    </row>
    <row r="81" spans="1:3" x14ac:dyDescent="0.2">
      <c r="A81" s="15">
        <v>13</v>
      </c>
      <c r="B81" s="8">
        <v>284073.23027499998</v>
      </c>
      <c r="C81" s="18"/>
    </row>
    <row r="82" spans="1:3" x14ac:dyDescent="0.2">
      <c r="A82" s="15">
        <v>14</v>
      </c>
      <c r="B82" s="8">
        <v>303688.02512499993</v>
      </c>
      <c r="C82" s="18"/>
    </row>
    <row r="83" spans="1:3" x14ac:dyDescent="0.2">
      <c r="A83" s="15">
        <v>15</v>
      </c>
      <c r="B83" s="8">
        <v>726645.09762800019</v>
      </c>
      <c r="C83" s="18"/>
    </row>
    <row r="84" spans="1:3" x14ac:dyDescent="0.2">
      <c r="A84" s="15">
        <v>16</v>
      </c>
      <c r="B84" s="8">
        <v>750038.08454499976</v>
      </c>
      <c r="C84" s="18"/>
    </row>
    <row r="85" spans="1:3" x14ac:dyDescent="0.2">
      <c r="A85" s="15">
        <v>17</v>
      </c>
      <c r="B85" s="8">
        <v>360630.76082100009</v>
      </c>
      <c r="C85" s="18"/>
    </row>
    <row r="86" spans="1:3" x14ac:dyDescent="0.2">
      <c r="A86" s="15">
        <v>18</v>
      </c>
      <c r="B86" s="8">
        <v>351583.99702800007</v>
      </c>
      <c r="C86" s="18"/>
    </row>
    <row r="87" spans="1:3" x14ac:dyDescent="0.2">
      <c r="A87" s="6" t="s">
        <v>153</v>
      </c>
      <c r="B87" s="8">
        <v>283462804.52967972</v>
      </c>
      <c r="C87" s="18"/>
    </row>
  </sheetData>
  <mergeCells count="9">
    <mergeCell ref="F35:I35"/>
    <mergeCell ref="F20:L20"/>
    <mergeCell ref="G23:I23"/>
    <mergeCell ref="G26:I26"/>
    <mergeCell ref="G6:L6"/>
    <mergeCell ref="G9:I9"/>
    <mergeCell ref="G12:I12"/>
    <mergeCell ref="F32:I32"/>
    <mergeCell ref="F29:I2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5D6FC3-2DB6-4814-AF62-A967CBE7FF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Stores</vt:lpstr>
      <vt:lpstr>Product</vt:lpstr>
      <vt:lpstr>Product DIS</vt:lpstr>
      <vt:lpstr>Forecasting</vt:lpstr>
      <vt:lpstr>Report 1</vt:lpstr>
      <vt:lpstr>Report 2</vt:lpstr>
      <vt:lpstr>Report 3</vt:lpstr>
      <vt:lpstr>Report 4</vt:lpstr>
      <vt:lpstr>Report 5</vt:lpstr>
      <vt:lpstr>Charts</vt:lpstr>
      <vt:lpstr>Stores Overview</vt:lpstr>
      <vt:lpstr>Forecasting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osama Khattab</dc:creator>
  <cp:lastModifiedBy>Mahmoud osama Khattab</cp:lastModifiedBy>
  <cp:lastPrinted>2026-07-15T14:46:01Z</cp:lastPrinted>
  <dcterms:created xsi:type="dcterms:W3CDTF">2026-07-15T03:37:38Z</dcterms:created>
  <dcterms:modified xsi:type="dcterms:W3CDTF">2026-07-16T10:38:43Z</dcterms:modified>
</cp:coreProperties>
</file>